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ОБИКС\"/>
    </mc:Choice>
  </mc:AlternateContent>
  <xr:revisionPtr revIDLastSave="0" documentId="13_ncr:1_{B22AE674-59B8-41D9-9825-31ED2313CA8F}" xr6:coauthVersionLast="47" xr6:coauthVersionMax="47" xr10:uidLastSave="{00000000-0000-0000-0000-000000000000}"/>
  <bookViews>
    <workbookView xWindow="-108" yWindow="-108" windowWidth="23256" windowHeight="12576" xr2:uid="{4109FD81-8A09-4E15-95E8-54C6F37443A8}"/>
  </bookViews>
  <sheets>
    <sheet name="Стандар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82" i="1" l="1"/>
  <c r="K782" i="1" s="1"/>
  <c r="L782" i="1" s="1"/>
  <c r="J781" i="1"/>
  <c r="K781" i="1" s="1"/>
  <c r="L781" i="1" s="1"/>
  <c r="J780" i="1"/>
  <c r="K780" i="1" s="1"/>
  <c r="L780" i="1" s="1"/>
  <c r="J779" i="1"/>
  <c r="K779" i="1" s="1"/>
  <c r="L779" i="1" s="1"/>
  <c r="J778" i="1"/>
  <c r="K778" i="1" s="1"/>
  <c r="L778" i="1" s="1"/>
  <c r="J777" i="1"/>
  <c r="K777" i="1" s="1"/>
  <c r="L777" i="1" s="1"/>
  <c r="J776" i="1"/>
  <c r="K776" i="1" s="1"/>
  <c r="L776" i="1" s="1"/>
  <c r="J775" i="1"/>
  <c r="K775" i="1" s="1"/>
  <c r="L775" i="1" s="1"/>
  <c r="J774" i="1"/>
  <c r="K774" i="1" s="1"/>
  <c r="L774" i="1" s="1"/>
  <c r="J773" i="1"/>
  <c r="K773" i="1" s="1"/>
  <c r="L773" i="1" s="1"/>
  <c r="J772" i="1"/>
  <c r="K772" i="1" s="1"/>
  <c r="L772" i="1" s="1"/>
  <c r="J771" i="1"/>
  <c r="K771" i="1" s="1"/>
  <c r="L771" i="1" s="1"/>
  <c r="J770" i="1"/>
  <c r="K770" i="1" s="1"/>
  <c r="L770" i="1" s="1"/>
  <c r="J769" i="1"/>
  <c r="K769" i="1" s="1"/>
  <c r="L769" i="1" s="1"/>
  <c r="J768" i="1"/>
  <c r="K768" i="1" s="1"/>
  <c r="L768" i="1" s="1"/>
  <c r="J767" i="1"/>
  <c r="K767" i="1" s="1"/>
  <c r="L767" i="1" s="1"/>
  <c r="J766" i="1"/>
  <c r="K766" i="1" s="1"/>
  <c r="L766" i="1" s="1"/>
  <c r="J765" i="1"/>
  <c r="K765" i="1" s="1"/>
  <c r="L765" i="1" s="1"/>
  <c r="J764" i="1"/>
  <c r="K764" i="1" s="1"/>
  <c r="L764" i="1" s="1"/>
  <c r="J763" i="1"/>
  <c r="K763" i="1" s="1"/>
  <c r="L763" i="1" s="1"/>
  <c r="J685" i="1"/>
  <c r="K685" i="1" s="1"/>
  <c r="L685" i="1" s="1"/>
  <c r="J190" i="1"/>
  <c r="K190" i="1" s="1"/>
  <c r="L190" i="1" s="1"/>
  <c r="J762" i="1"/>
  <c r="K762" i="1" s="1"/>
  <c r="L762" i="1" s="1"/>
  <c r="J761" i="1"/>
  <c r="K761" i="1" s="1"/>
  <c r="L761" i="1" s="1"/>
  <c r="J760" i="1"/>
  <c r="K760" i="1" s="1"/>
  <c r="L760" i="1" s="1"/>
  <c r="J759" i="1"/>
  <c r="K759" i="1" s="1"/>
  <c r="L759" i="1" s="1"/>
  <c r="J758" i="1"/>
  <c r="K758" i="1" s="1"/>
  <c r="L758" i="1" s="1"/>
  <c r="J757" i="1"/>
  <c r="K757" i="1" s="1"/>
  <c r="L757" i="1" s="1"/>
  <c r="J756" i="1"/>
  <c r="K756" i="1" s="1"/>
  <c r="L756" i="1" s="1"/>
  <c r="J755" i="1"/>
  <c r="K755" i="1" s="1"/>
  <c r="L755" i="1" s="1"/>
  <c r="J754" i="1"/>
  <c r="K754" i="1" s="1"/>
  <c r="L754" i="1" s="1"/>
  <c r="J753" i="1"/>
  <c r="K753" i="1" s="1"/>
  <c r="L753" i="1" s="1"/>
  <c r="J752" i="1"/>
  <c r="K752" i="1" s="1"/>
  <c r="L752" i="1" s="1"/>
  <c r="J751" i="1"/>
  <c r="K751" i="1" s="1"/>
  <c r="L751" i="1" s="1"/>
  <c r="J750" i="1"/>
  <c r="K750" i="1" s="1"/>
  <c r="L750" i="1" s="1"/>
  <c r="J749" i="1"/>
  <c r="K749" i="1" s="1"/>
  <c r="L749" i="1" s="1"/>
  <c r="J748" i="1"/>
  <c r="K748" i="1" s="1"/>
  <c r="L748" i="1" s="1"/>
  <c r="J747" i="1"/>
  <c r="K747" i="1" s="1"/>
  <c r="L747" i="1" s="1"/>
  <c r="J746" i="1"/>
  <c r="K746" i="1" s="1"/>
  <c r="L746" i="1" s="1"/>
  <c r="J745" i="1"/>
  <c r="K745" i="1" s="1"/>
  <c r="L745" i="1" s="1"/>
  <c r="J744" i="1"/>
  <c r="K744" i="1" s="1"/>
  <c r="L744" i="1" s="1"/>
  <c r="J743" i="1"/>
  <c r="K743" i="1" s="1"/>
  <c r="L743" i="1" s="1"/>
  <c r="J742" i="1"/>
  <c r="K742" i="1" s="1"/>
  <c r="L742" i="1" s="1"/>
  <c r="J741" i="1"/>
  <c r="K741" i="1" s="1"/>
  <c r="L741" i="1" s="1"/>
  <c r="J740" i="1"/>
  <c r="K740" i="1" s="1"/>
  <c r="L740" i="1" s="1"/>
  <c r="J739" i="1"/>
  <c r="K739" i="1" s="1"/>
  <c r="L739" i="1" s="1"/>
  <c r="J738" i="1"/>
  <c r="K738" i="1" s="1"/>
  <c r="L738" i="1" s="1"/>
  <c r="J737" i="1"/>
  <c r="K737" i="1" s="1"/>
  <c r="L737" i="1" s="1"/>
  <c r="J736" i="1"/>
  <c r="K736" i="1" s="1"/>
  <c r="L736" i="1" s="1"/>
  <c r="J735" i="1"/>
  <c r="K735" i="1" s="1"/>
  <c r="L735" i="1" s="1"/>
  <c r="J734" i="1"/>
  <c r="K734" i="1" s="1"/>
  <c r="L734" i="1" s="1"/>
  <c r="J733" i="1"/>
  <c r="K733" i="1" s="1"/>
  <c r="L733" i="1" s="1"/>
  <c r="J732" i="1"/>
  <c r="K732" i="1" s="1"/>
  <c r="L732" i="1" s="1"/>
  <c r="J731" i="1"/>
  <c r="K731" i="1" s="1"/>
  <c r="L731" i="1" s="1"/>
  <c r="J730" i="1"/>
  <c r="K730" i="1" s="1"/>
  <c r="L730" i="1" s="1"/>
  <c r="J729" i="1"/>
  <c r="K729" i="1" s="1"/>
  <c r="L729" i="1" s="1"/>
  <c r="J728" i="1"/>
  <c r="K728" i="1" s="1"/>
  <c r="L728" i="1" s="1"/>
  <c r="J727" i="1"/>
  <c r="K727" i="1" s="1"/>
  <c r="L727" i="1" s="1"/>
  <c r="J726" i="1"/>
  <c r="K726" i="1" s="1"/>
  <c r="L726" i="1" s="1"/>
  <c r="J725" i="1"/>
  <c r="K725" i="1" s="1"/>
  <c r="L725" i="1" s="1"/>
  <c r="J724" i="1"/>
  <c r="K724" i="1" s="1"/>
  <c r="L724" i="1" s="1"/>
  <c r="J723" i="1"/>
  <c r="K723" i="1" s="1"/>
  <c r="L723" i="1" s="1"/>
  <c r="J722" i="1"/>
  <c r="K722" i="1" s="1"/>
  <c r="L722" i="1" s="1"/>
  <c r="J721" i="1"/>
  <c r="K721" i="1" s="1"/>
  <c r="L721" i="1" s="1"/>
  <c r="J720" i="1"/>
  <c r="K720" i="1" s="1"/>
  <c r="L720" i="1" s="1"/>
  <c r="J719" i="1"/>
  <c r="K719" i="1" s="1"/>
  <c r="L719" i="1" s="1"/>
  <c r="J718" i="1"/>
  <c r="K718" i="1" s="1"/>
  <c r="L718" i="1" s="1"/>
  <c r="J717" i="1"/>
  <c r="K717" i="1" s="1"/>
  <c r="L717" i="1" s="1"/>
  <c r="J716" i="1"/>
  <c r="K716" i="1" s="1"/>
  <c r="L716" i="1" s="1"/>
  <c r="J715" i="1"/>
  <c r="K715" i="1" s="1"/>
  <c r="L715" i="1" s="1"/>
  <c r="J714" i="1"/>
  <c r="K714" i="1" s="1"/>
  <c r="L714" i="1" s="1"/>
  <c r="J713" i="1"/>
  <c r="K713" i="1" s="1"/>
  <c r="L713" i="1" s="1"/>
  <c r="J712" i="1"/>
  <c r="K712" i="1" s="1"/>
  <c r="L712" i="1" s="1"/>
  <c r="J711" i="1"/>
  <c r="K711" i="1" s="1"/>
  <c r="L711" i="1" s="1"/>
  <c r="J710" i="1"/>
  <c r="K710" i="1" s="1"/>
  <c r="L710" i="1" s="1"/>
  <c r="J709" i="1"/>
  <c r="K709" i="1" s="1"/>
  <c r="L709" i="1" s="1"/>
  <c r="J708" i="1"/>
  <c r="K708" i="1" s="1"/>
  <c r="L708" i="1" s="1"/>
  <c r="J707" i="1"/>
  <c r="K707" i="1" s="1"/>
  <c r="L707" i="1" s="1"/>
  <c r="J706" i="1"/>
  <c r="K706" i="1" s="1"/>
  <c r="L706" i="1" s="1"/>
  <c r="J705" i="1"/>
  <c r="K705" i="1" s="1"/>
  <c r="L705" i="1" s="1"/>
  <c r="J704" i="1"/>
  <c r="K704" i="1" s="1"/>
  <c r="L704" i="1" s="1"/>
  <c r="J703" i="1"/>
  <c r="K703" i="1" s="1"/>
  <c r="L703" i="1" s="1"/>
  <c r="J702" i="1"/>
  <c r="K702" i="1" s="1"/>
  <c r="L702" i="1" s="1"/>
  <c r="J701" i="1"/>
  <c r="K701" i="1" s="1"/>
  <c r="L701" i="1" s="1"/>
  <c r="J700" i="1"/>
  <c r="K700" i="1" s="1"/>
  <c r="L700" i="1" s="1"/>
  <c r="J699" i="1"/>
  <c r="K699" i="1" s="1"/>
  <c r="L699" i="1" s="1"/>
  <c r="J698" i="1"/>
  <c r="K698" i="1" s="1"/>
  <c r="L698" i="1" s="1"/>
  <c r="J697" i="1"/>
  <c r="K697" i="1" s="1"/>
  <c r="L697" i="1" s="1"/>
  <c r="J696" i="1"/>
  <c r="K696" i="1" s="1"/>
  <c r="L696" i="1" s="1"/>
  <c r="J695" i="1"/>
  <c r="K695" i="1" s="1"/>
  <c r="L695" i="1" s="1"/>
  <c r="J694" i="1"/>
  <c r="K694" i="1" s="1"/>
  <c r="L694" i="1" s="1"/>
  <c r="J693" i="1"/>
  <c r="K693" i="1" s="1"/>
  <c r="L693" i="1" s="1"/>
  <c r="J692" i="1"/>
  <c r="K692" i="1" s="1"/>
  <c r="L692" i="1" s="1"/>
  <c r="J691" i="1"/>
  <c r="K691" i="1" s="1"/>
  <c r="L691" i="1" s="1"/>
  <c r="J690" i="1"/>
  <c r="K690" i="1" s="1"/>
  <c r="L690" i="1" s="1"/>
  <c r="J689" i="1"/>
  <c r="K689" i="1" s="1"/>
  <c r="L689" i="1" s="1"/>
  <c r="J688" i="1"/>
  <c r="K688" i="1" s="1"/>
  <c r="L688" i="1" s="1"/>
  <c r="J687" i="1"/>
  <c r="K687" i="1" s="1"/>
  <c r="L687" i="1" s="1"/>
  <c r="J686" i="1"/>
  <c r="K686" i="1" s="1"/>
  <c r="L686" i="1" s="1"/>
  <c r="J684" i="1"/>
  <c r="K684" i="1" s="1"/>
  <c r="L684" i="1" s="1"/>
  <c r="J683" i="1"/>
  <c r="K683" i="1" s="1"/>
  <c r="L683" i="1" s="1"/>
  <c r="J682" i="1"/>
  <c r="K682" i="1" s="1"/>
  <c r="L682" i="1" s="1"/>
  <c r="J681" i="1"/>
  <c r="K681" i="1" s="1"/>
  <c r="L681" i="1" s="1"/>
  <c r="J680" i="1"/>
  <c r="K680" i="1" s="1"/>
  <c r="L680" i="1" s="1"/>
  <c r="J679" i="1"/>
  <c r="K679" i="1" s="1"/>
  <c r="L679" i="1" s="1"/>
  <c r="J678" i="1"/>
  <c r="K678" i="1" s="1"/>
  <c r="L678" i="1" s="1"/>
  <c r="J677" i="1"/>
  <c r="K677" i="1" s="1"/>
  <c r="L677" i="1" s="1"/>
  <c r="J676" i="1"/>
  <c r="K676" i="1" s="1"/>
  <c r="L676" i="1" s="1"/>
  <c r="J675" i="1"/>
  <c r="K675" i="1" s="1"/>
  <c r="L675" i="1" s="1"/>
  <c r="J674" i="1"/>
  <c r="K674" i="1" s="1"/>
  <c r="L674" i="1" s="1"/>
  <c r="J673" i="1"/>
  <c r="K673" i="1" s="1"/>
  <c r="L673" i="1" s="1"/>
  <c r="J672" i="1"/>
  <c r="K672" i="1" s="1"/>
  <c r="L672" i="1" s="1"/>
  <c r="J671" i="1"/>
  <c r="K671" i="1" s="1"/>
  <c r="L671" i="1" s="1"/>
  <c r="J670" i="1"/>
  <c r="K670" i="1" s="1"/>
  <c r="L670" i="1" s="1"/>
  <c r="J669" i="1"/>
  <c r="K669" i="1" s="1"/>
  <c r="L669" i="1" s="1"/>
  <c r="J668" i="1"/>
  <c r="K668" i="1" s="1"/>
  <c r="L668" i="1" s="1"/>
  <c r="J667" i="1"/>
  <c r="K667" i="1" s="1"/>
  <c r="L667" i="1" s="1"/>
  <c r="J666" i="1"/>
  <c r="K666" i="1" s="1"/>
  <c r="L666" i="1" s="1"/>
  <c r="J665" i="1"/>
  <c r="K665" i="1" s="1"/>
  <c r="L665" i="1" s="1"/>
  <c r="J664" i="1"/>
  <c r="K664" i="1" s="1"/>
  <c r="L664" i="1" s="1"/>
  <c r="J663" i="1"/>
  <c r="K663" i="1" s="1"/>
  <c r="L663" i="1" s="1"/>
  <c r="J662" i="1"/>
  <c r="K662" i="1" s="1"/>
  <c r="L662" i="1" s="1"/>
  <c r="J661" i="1"/>
  <c r="K661" i="1" s="1"/>
  <c r="L661" i="1" s="1"/>
  <c r="J660" i="1"/>
  <c r="K660" i="1" s="1"/>
  <c r="L660" i="1" s="1"/>
  <c r="J659" i="1"/>
  <c r="K659" i="1" s="1"/>
  <c r="L659" i="1" s="1"/>
  <c r="J658" i="1"/>
  <c r="K658" i="1" s="1"/>
  <c r="L658" i="1" s="1"/>
  <c r="J657" i="1"/>
  <c r="K657" i="1" s="1"/>
  <c r="L657" i="1" s="1"/>
  <c r="J656" i="1"/>
  <c r="K656" i="1" s="1"/>
  <c r="L656" i="1" s="1"/>
  <c r="J655" i="1"/>
  <c r="K655" i="1" s="1"/>
  <c r="L655" i="1" s="1"/>
  <c r="J654" i="1"/>
  <c r="K654" i="1" s="1"/>
  <c r="L654" i="1" s="1"/>
  <c r="J653" i="1"/>
  <c r="K653" i="1" s="1"/>
  <c r="L653" i="1" s="1"/>
  <c r="J652" i="1"/>
  <c r="K652" i="1" s="1"/>
  <c r="L652" i="1" s="1"/>
  <c r="J651" i="1"/>
  <c r="K651" i="1" s="1"/>
  <c r="L651" i="1" s="1"/>
  <c r="J650" i="1"/>
  <c r="K650" i="1" s="1"/>
  <c r="L650" i="1" s="1"/>
  <c r="J649" i="1"/>
  <c r="K649" i="1" s="1"/>
  <c r="L649" i="1" s="1"/>
  <c r="J648" i="1"/>
  <c r="K648" i="1" s="1"/>
  <c r="L648" i="1" s="1"/>
  <c r="J647" i="1"/>
  <c r="K647" i="1" s="1"/>
  <c r="L647" i="1" s="1"/>
  <c r="J646" i="1"/>
  <c r="K646" i="1" s="1"/>
  <c r="L646" i="1" s="1"/>
  <c r="J645" i="1"/>
  <c r="K645" i="1" s="1"/>
  <c r="L645" i="1" s="1"/>
  <c r="J644" i="1"/>
  <c r="K644" i="1" s="1"/>
  <c r="L644" i="1" s="1"/>
  <c r="J643" i="1"/>
  <c r="K643" i="1" s="1"/>
  <c r="L643" i="1" s="1"/>
  <c r="J642" i="1"/>
  <c r="K642" i="1" s="1"/>
  <c r="L642" i="1" s="1"/>
  <c r="J641" i="1"/>
  <c r="K641" i="1" s="1"/>
  <c r="L641" i="1" s="1"/>
  <c r="J640" i="1"/>
  <c r="K640" i="1" s="1"/>
  <c r="L640" i="1" s="1"/>
  <c r="J639" i="1"/>
  <c r="K639" i="1" s="1"/>
  <c r="L639" i="1" s="1"/>
  <c r="J638" i="1"/>
  <c r="K638" i="1" s="1"/>
  <c r="L638" i="1" s="1"/>
  <c r="J637" i="1"/>
  <c r="K637" i="1" s="1"/>
  <c r="L637" i="1" s="1"/>
  <c r="J636" i="1"/>
  <c r="K636" i="1" s="1"/>
  <c r="L636" i="1" s="1"/>
  <c r="J635" i="1"/>
  <c r="K635" i="1" s="1"/>
  <c r="L635" i="1" s="1"/>
  <c r="J634" i="1"/>
  <c r="K634" i="1" s="1"/>
  <c r="L634" i="1" s="1"/>
  <c r="J633" i="1"/>
  <c r="K633" i="1" s="1"/>
  <c r="L633" i="1" s="1"/>
  <c r="J632" i="1"/>
  <c r="K632" i="1" s="1"/>
  <c r="L632" i="1" s="1"/>
  <c r="J631" i="1"/>
  <c r="K631" i="1" s="1"/>
  <c r="L631" i="1" s="1"/>
  <c r="J630" i="1"/>
  <c r="K630" i="1" s="1"/>
  <c r="L630" i="1" s="1"/>
  <c r="J629" i="1"/>
  <c r="K629" i="1" s="1"/>
  <c r="L629" i="1" s="1"/>
  <c r="J628" i="1"/>
  <c r="K628" i="1" s="1"/>
  <c r="L628" i="1" s="1"/>
  <c r="J627" i="1"/>
  <c r="K627" i="1" s="1"/>
  <c r="L627" i="1" s="1"/>
  <c r="J626" i="1"/>
  <c r="K626" i="1" s="1"/>
  <c r="L626" i="1" s="1"/>
  <c r="J625" i="1"/>
  <c r="K625" i="1" s="1"/>
  <c r="L625" i="1" s="1"/>
  <c r="J624" i="1"/>
  <c r="K624" i="1" s="1"/>
  <c r="L624" i="1" s="1"/>
  <c r="J623" i="1"/>
  <c r="K623" i="1" s="1"/>
  <c r="L623" i="1" s="1"/>
  <c r="J622" i="1"/>
  <c r="K622" i="1" s="1"/>
  <c r="L622" i="1" s="1"/>
  <c r="J621" i="1"/>
  <c r="K621" i="1" s="1"/>
  <c r="L621" i="1" s="1"/>
  <c r="J620" i="1"/>
  <c r="K620" i="1" s="1"/>
  <c r="L620" i="1" s="1"/>
  <c r="J619" i="1"/>
  <c r="K619" i="1" s="1"/>
  <c r="L619" i="1" s="1"/>
  <c r="J618" i="1"/>
  <c r="K618" i="1" s="1"/>
  <c r="L618" i="1" s="1"/>
  <c r="J617" i="1"/>
  <c r="K617" i="1" s="1"/>
  <c r="L617" i="1" s="1"/>
  <c r="J616" i="1"/>
  <c r="K616" i="1" s="1"/>
  <c r="L616" i="1" s="1"/>
  <c r="J615" i="1"/>
  <c r="K615" i="1" s="1"/>
  <c r="L615" i="1" s="1"/>
  <c r="J614" i="1"/>
  <c r="K614" i="1" s="1"/>
  <c r="L614" i="1" s="1"/>
  <c r="J613" i="1"/>
  <c r="K613" i="1" s="1"/>
  <c r="L613" i="1" s="1"/>
  <c r="J612" i="1"/>
  <c r="K612" i="1" s="1"/>
  <c r="L612" i="1" s="1"/>
  <c r="J611" i="1"/>
  <c r="K611" i="1" s="1"/>
  <c r="L611" i="1" s="1"/>
  <c r="J610" i="1"/>
  <c r="K610" i="1" s="1"/>
  <c r="L610" i="1" s="1"/>
  <c r="J609" i="1"/>
  <c r="K609" i="1" s="1"/>
  <c r="L609" i="1" s="1"/>
  <c r="J608" i="1"/>
  <c r="K608" i="1" s="1"/>
  <c r="L608" i="1" s="1"/>
  <c r="J607" i="1"/>
  <c r="K607" i="1" s="1"/>
  <c r="L607" i="1" s="1"/>
  <c r="J606" i="1"/>
  <c r="K606" i="1" s="1"/>
  <c r="L606" i="1" s="1"/>
  <c r="J605" i="1"/>
  <c r="K605" i="1" s="1"/>
  <c r="L605" i="1" s="1"/>
  <c r="J604" i="1"/>
  <c r="K604" i="1" s="1"/>
  <c r="L604" i="1" s="1"/>
  <c r="J603" i="1"/>
  <c r="K603" i="1" s="1"/>
  <c r="L603" i="1" s="1"/>
  <c r="J602" i="1"/>
  <c r="K602" i="1" s="1"/>
  <c r="L602" i="1" s="1"/>
  <c r="J601" i="1"/>
  <c r="K601" i="1" s="1"/>
  <c r="L601" i="1" s="1"/>
  <c r="J600" i="1"/>
  <c r="K600" i="1" s="1"/>
  <c r="L600" i="1" s="1"/>
  <c r="J599" i="1"/>
  <c r="K599" i="1" s="1"/>
  <c r="L599" i="1" s="1"/>
  <c r="J598" i="1"/>
  <c r="K598" i="1" s="1"/>
  <c r="L598" i="1" s="1"/>
  <c r="J597" i="1"/>
  <c r="K597" i="1" s="1"/>
  <c r="L597" i="1" s="1"/>
  <c r="J596" i="1"/>
  <c r="K596" i="1" s="1"/>
  <c r="L596" i="1" s="1"/>
  <c r="J595" i="1"/>
  <c r="K595" i="1" s="1"/>
  <c r="L595" i="1" s="1"/>
  <c r="J594" i="1"/>
  <c r="K594" i="1" s="1"/>
  <c r="L594" i="1" s="1"/>
  <c r="J593" i="1"/>
  <c r="K593" i="1" s="1"/>
  <c r="L593" i="1" s="1"/>
  <c r="J592" i="1"/>
  <c r="K592" i="1" s="1"/>
  <c r="L592" i="1" s="1"/>
  <c r="J591" i="1"/>
  <c r="K591" i="1" s="1"/>
  <c r="L591" i="1" s="1"/>
  <c r="J590" i="1"/>
  <c r="K590" i="1" s="1"/>
  <c r="L590" i="1" s="1"/>
  <c r="J589" i="1"/>
  <c r="K589" i="1" s="1"/>
  <c r="L589" i="1" s="1"/>
  <c r="J588" i="1"/>
  <c r="K588" i="1" s="1"/>
  <c r="L588" i="1" s="1"/>
  <c r="J587" i="1"/>
  <c r="K587" i="1" s="1"/>
  <c r="L587" i="1" s="1"/>
  <c r="J586" i="1"/>
  <c r="K586" i="1" s="1"/>
  <c r="L586" i="1" s="1"/>
  <c r="J585" i="1"/>
  <c r="K585" i="1" s="1"/>
  <c r="L585" i="1" s="1"/>
  <c r="J584" i="1"/>
  <c r="K584" i="1" s="1"/>
  <c r="L584" i="1" s="1"/>
  <c r="J583" i="1"/>
  <c r="K583" i="1" s="1"/>
  <c r="L583" i="1" s="1"/>
  <c r="J582" i="1"/>
  <c r="K582" i="1" s="1"/>
  <c r="L582" i="1" s="1"/>
  <c r="J581" i="1"/>
  <c r="K581" i="1" s="1"/>
  <c r="L581" i="1" s="1"/>
  <c r="J580" i="1"/>
  <c r="K580" i="1" s="1"/>
  <c r="L580" i="1" s="1"/>
  <c r="J579" i="1"/>
  <c r="K579" i="1" s="1"/>
  <c r="L579" i="1" s="1"/>
  <c r="J578" i="1"/>
  <c r="K578" i="1" s="1"/>
  <c r="L578" i="1" s="1"/>
  <c r="J577" i="1"/>
  <c r="K577" i="1" s="1"/>
  <c r="L577" i="1" s="1"/>
  <c r="J576" i="1"/>
  <c r="K576" i="1" s="1"/>
  <c r="L576" i="1" s="1"/>
  <c r="J575" i="1"/>
  <c r="K575" i="1" s="1"/>
  <c r="L575" i="1" s="1"/>
  <c r="J574" i="1"/>
  <c r="K574" i="1" s="1"/>
  <c r="L574" i="1" s="1"/>
  <c r="J573" i="1"/>
  <c r="K573" i="1" s="1"/>
  <c r="L573" i="1" s="1"/>
  <c r="J572" i="1"/>
  <c r="K572" i="1" s="1"/>
  <c r="L572" i="1" s="1"/>
  <c r="J571" i="1"/>
  <c r="K571" i="1" s="1"/>
  <c r="L571" i="1" s="1"/>
  <c r="J570" i="1"/>
  <c r="K570" i="1" s="1"/>
  <c r="L570" i="1" s="1"/>
  <c r="J569" i="1"/>
  <c r="K569" i="1" s="1"/>
  <c r="L569" i="1" s="1"/>
  <c r="J568" i="1"/>
  <c r="K568" i="1" s="1"/>
  <c r="L568" i="1" s="1"/>
  <c r="J567" i="1"/>
  <c r="K567" i="1" s="1"/>
  <c r="L567" i="1" s="1"/>
  <c r="J566" i="1"/>
  <c r="K566" i="1" s="1"/>
  <c r="L566" i="1" s="1"/>
  <c r="J565" i="1"/>
  <c r="K565" i="1" s="1"/>
  <c r="L565" i="1" s="1"/>
  <c r="J564" i="1"/>
  <c r="K564" i="1" s="1"/>
  <c r="L564" i="1" s="1"/>
  <c r="J563" i="1"/>
  <c r="K563" i="1" s="1"/>
  <c r="L563" i="1" s="1"/>
  <c r="J562" i="1"/>
  <c r="K562" i="1" s="1"/>
  <c r="L562" i="1" s="1"/>
  <c r="J561" i="1"/>
  <c r="K561" i="1" s="1"/>
  <c r="L561" i="1" s="1"/>
  <c r="J560" i="1"/>
  <c r="K560" i="1" s="1"/>
  <c r="L560" i="1" s="1"/>
  <c r="J559" i="1"/>
  <c r="K559" i="1" s="1"/>
  <c r="L559" i="1" s="1"/>
  <c r="J558" i="1"/>
  <c r="K558" i="1" s="1"/>
  <c r="L558" i="1" s="1"/>
  <c r="J557" i="1"/>
  <c r="K557" i="1" s="1"/>
  <c r="L557" i="1" s="1"/>
  <c r="J556" i="1"/>
  <c r="K556" i="1" s="1"/>
  <c r="L556" i="1" s="1"/>
  <c r="J555" i="1"/>
  <c r="K555" i="1" s="1"/>
  <c r="L555" i="1" s="1"/>
  <c r="J554" i="1"/>
  <c r="K554" i="1" s="1"/>
  <c r="L554" i="1" s="1"/>
  <c r="J553" i="1"/>
  <c r="K553" i="1" s="1"/>
  <c r="L553" i="1" s="1"/>
  <c r="J552" i="1"/>
  <c r="K552" i="1" s="1"/>
  <c r="L552" i="1" s="1"/>
  <c r="J551" i="1"/>
  <c r="K551" i="1" s="1"/>
  <c r="L551" i="1" s="1"/>
  <c r="J550" i="1"/>
  <c r="K550" i="1" s="1"/>
  <c r="L550" i="1" s="1"/>
  <c r="J549" i="1"/>
  <c r="K549" i="1" s="1"/>
  <c r="L549" i="1" s="1"/>
  <c r="J548" i="1"/>
  <c r="K548" i="1" s="1"/>
  <c r="L548" i="1" s="1"/>
  <c r="J547" i="1"/>
  <c r="K547" i="1" s="1"/>
  <c r="L547" i="1" s="1"/>
  <c r="J546" i="1"/>
  <c r="K546" i="1" s="1"/>
  <c r="L546" i="1" s="1"/>
  <c r="J545" i="1"/>
  <c r="K545" i="1" s="1"/>
  <c r="L545" i="1" s="1"/>
  <c r="J544" i="1"/>
  <c r="K544" i="1" s="1"/>
  <c r="L544" i="1" s="1"/>
  <c r="J543" i="1"/>
  <c r="K543" i="1" s="1"/>
  <c r="L543" i="1" s="1"/>
  <c r="J542" i="1"/>
  <c r="K542" i="1" s="1"/>
  <c r="L542" i="1" s="1"/>
  <c r="J541" i="1"/>
  <c r="K541" i="1" s="1"/>
  <c r="L541" i="1" s="1"/>
  <c r="J540" i="1"/>
  <c r="K540" i="1" s="1"/>
  <c r="L540" i="1" s="1"/>
  <c r="J539" i="1"/>
  <c r="K539" i="1" s="1"/>
  <c r="L539" i="1" s="1"/>
  <c r="J538" i="1"/>
  <c r="K538" i="1" s="1"/>
  <c r="L538" i="1" s="1"/>
  <c r="J537" i="1"/>
  <c r="K537" i="1" s="1"/>
  <c r="L537" i="1" s="1"/>
  <c r="J536" i="1"/>
  <c r="K536" i="1" s="1"/>
  <c r="L536" i="1" s="1"/>
  <c r="J535" i="1"/>
  <c r="K535" i="1" s="1"/>
  <c r="L535" i="1" s="1"/>
  <c r="J534" i="1"/>
  <c r="K534" i="1" s="1"/>
  <c r="L534" i="1" s="1"/>
  <c r="J533" i="1"/>
  <c r="K533" i="1" s="1"/>
  <c r="L533" i="1" s="1"/>
  <c r="J532" i="1"/>
  <c r="K532" i="1" s="1"/>
  <c r="L532" i="1" s="1"/>
  <c r="J531" i="1"/>
  <c r="K531" i="1" s="1"/>
  <c r="L531" i="1" s="1"/>
  <c r="J530" i="1"/>
  <c r="K530" i="1" s="1"/>
  <c r="L530" i="1" s="1"/>
  <c r="J529" i="1"/>
  <c r="K529" i="1" s="1"/>
  <c r="L529" i="1" s="1"/>
  <c r="J528" i="1"/>
  <c r="K528" i="1" s="1"/>
  <c r="L528" i="1" s="1"/>
  <c r="J527" i="1"/>
  <c r="K527" i="1" s="1"/>
  <c r="L527" i="1" s="1"/>
  <c r="J526" i="1"/>
  <c r="K526" i="1" s="1"/>
  <c r="L526" i="1" s="1"/>
  <c r="J525" i="1"/>
  <c r="K525" i="1" s="1"/>
  <c r="L525" i="1" s="1"/>
  <c r="J524" i="1"/>
  <c r="K524" i="1" s="1"/>
  <c r="L524" i="1" s="1"/>
  <c r="J523" i="1"/>
  <c r="K523" i="1" s="1"/>
  <c r="L523" i="1" s="1"/>
  <c r="J522" i="1"/>
  <c r="K522" i="1" s="1"/>
  <c r="L522" i="1" s="1"/>
  <c r="J521" i="1"/>
  <c r="K521" i="1" s="1"/>
  <c r="L521" i="1" s="1"/>
  <c r="J520" i="1"/>
  <c r="K520" i="1" s="1"/>
  <c r="L520" i="1" s="1"/>
  <c r="J519" i="1"/>
  <c r="K519" i="1" s="1"/>
  <c r="L519" i="1" s="1"/>
  <c r="J518" i="1"/>
  <c r="K518" i="1" s="1"/>
  <c r="L518" i="1" s="1"/>
  <c r="J517" i="1"/>
  <c r="K517" i="1" s="1"/>
  <c r="L517" i="1" s="1"/>
  <c r="J516" i="1"/>
  <c r="K516" i="1" s="1"/>
  <c r="L516" i="1" s="1"/>
  <c r="J515" i="1"/>
  <c r="K515" i="1" s="1"/>
  <c r="L515" i="1" s="1"/>
  <c r="J514" i="1"/>
  <c r="K514" i="1" s="1"/>
  <c r="L514" i="1" s="1"/>
  <c r="J513" i="1"/>
  <c r="K513" i="1" s="1"/>
  <c r="L513" i="1" s="1"/>
  <c r="J512" i="1"/>
  <c r="K512" i="1" s="1"/>
  <c r="L512" i="1" s="1"/>
  <c r="J511" i="1"/>
  <c r="K511" i="1" s="1"/>
  <c r="L511" i="1" s="1"/>
  <c r="J510" i="1"/>
  <c r="K510" i="1" s="1"/>
  <c r="L510" i="1" s="1"/>
  <c r="J509" i="1"/>
  <c r="K509" i="1" s="1"/>
  <c r="L509" i="1" s="1"/>
  <c r="J508" i="1"/>
  <c r="K508" i="1" s="1"/>
  <c r="L508" i="1" s="1"/>
  <c r="J507" i="1"/>
  <c r="K507" i="1" s="1"/>
  <c r="L507" i="1" s="1"/>
  <c r="J506" i="1"/>
  <c r="K506" i="1" s="1"/>
  <c r="L506" i="1" s="1"/>
  <c r="J505" i="1"/>
  <c r="K505" i="1" s="1"/>
  <c r="L505" i="1" s="1"/>
  <c r="J504" i="1"/>
  <c r="K504" i="1" s="1"/>
  <c r="L504" i="1" s="1"/>
  <c r="J503" i="1"/>
  <c r="K503" i="1" s="1"/>
  <c r="L503" i="1" s="1"/>
  <c r="J502" i="1"/>
  <c r="K502" i="1" s="1"/>
  <c r="L502" i="1" s="1"/>
  <c r="J501" i="1"/>
  <c r="K501" i="1" s="1"/>
  <c r="L501" i="1" s="1"/>
  <c r="J500" i="1"/>
  <c r="K500" i="1" s="1"/>
  <c r="L500" i="1" s="1"/>
  <c r="J499" i="1"/>
  <c r="K499" i="1" s="1"/>
  <c r="L499" i="1" s="1"/>
  <c r="J498" i="1"/>
  <c r="K498" i="1" s="1"/>
  <c r="L498" i="1" s="1"/>
  <c r="J497" i="1"/>
  <c r="K497" i="1" s="1"/>
  <c r="L497" i="1" s="1"/>
  <c r="J496" i="1"/>
  <c r="K496" i="1" s="1"/>
  <c r="L496" i="1" s="1"/>
  <c r="J495" i="1"/>
  <c r="K495" i="1" s="1"/>
  <c r="L495" i="1" s="1"/>
  <c r="J494" i="1"/>
  <c r="K494" i="1" s="1"/>
  <c r="L494" i="1" s="1"/>
  <c r="J493" i="1"/>
  <c r="K493" i="1" s="1"/>
  <c r="L493" i="1" s="1"/>
  <c r="J492" i="1"/>
  <c r="K492" i="1" s="1"/>
  <c r="L492" i="1" s="1"/>
  <c r="J491" i="1"/>
  <c r="K491" i="1" s="1"/>
  <c r="L491" i="1" s="1"/>
  <c r="J490" i="1"/>
  <c r="K490" i="1" s="1"/>
  <c r="L490" i="1" s="1"/>
  <c r="J489" i="1"/>
  <c r="K489" i="1" s="1"/>
  <c r="L489" i="1" s="1"/>
  <c r="J488" i="1"/>
  <c r="K488" i="1" s="1"/>
  <c r="L488" i="1" s="1"/>
  <c r="J487" i="1"/>
  <c r="K487" i="1" s="1"/>
  <c r="L487" i="1" s="1"/>
  <c r="J486" i="1"/>
  <c r="K486" i="1" s="1"/>
  <c r="L486" i="1" s="1"/>
  <c r="J485" i="1"/>
  <c r="K485" i="1" s="1"/>
  <c r="L485" i="1" s="1"/>
  <c r="J484" i="1"/>
  <c r="K484" i="1" s="1"/>
  <c r="L484" i="1" s="1"/>
  <c r="J483" i="1"/>
  <c r="K483" i="1" s="1"/>
  <c r="L483" i="1" s="1"/>
  <c r="J482" i="1"/>
  <c r="K482" i="1" s="1"/>
  <c r="L482" i="1" s="1"/>
  <c r="J481" i="1"/>
  <c r="K481" i="1" s="1"/>
  <c r="L481" i="1" s="1"/>
  <c r="J480" i="1"/>
  <c r="K480" i="1" s="1"/>
  <c r="L480" i="1" s="1"/>
  <c r="J479" i="1"/>
  <c r="K479" i="1" s="1"/>
  <c r="L479" i="1" s="1"/>
  <c r="J478" i="1"/>
  <c r="K478" i="1" s="1"/>
  <c r="L478" i="1" s="1"/>
  <c r="J477" i="1"/>
  <c r="K477" i="1" s="1"/>
  <c r="L477" i="1" s="1"/>
  <c r="J476" i="1"/>
  <c r="K476" i="1" s="1"/>
  <c r="L476" i="1" s="1"/>
  <c r="J475" i="1"/>
  <c r="K475" i="1" s="1"/>
  <c r="L475" i="1" s="1"/>
  <c r="J474" i="1"/>
  <c r="K474" i="1" s="1"/>
  <c r="L474" i="1" s="1"/>
  <c r="J473" i="1"/>
  <c r="K473" i="1" s="1"/>
  <c r="L473" i="1" s="1"/>
  <c r="J472" i="1"/>
  <c r="K472" i="1" s="1"/>
  <c r="L472" i="1" s="1"/>
  <c r="J471" i="1"/>
  <c r="K471" i="1" s="1"/>
  <c r="L471" i="1" s="1"/>
  <c r="J470" i="1"/>
  <c r="K470" i="1" s="1"/>
  <c r="L470" i="1" s="1"/>
  <c r="J469" i="1"/>
  <c r="K469" i="1" s="1"/>
  <c r="L469" i="1" s="1"/>
  <c r="J468" i="1"/>
  <c r="K468" i="1" s="1"/>
  <c r="L468" i="1" s="1"/>
  <c r="J467" i="1"/>
  <c r="K467" i="1" s="1"/>
  <c r="L467" i="1" s="1"/>
  <c r="J466" i="1"/>
  <c r="K466" i="1" s="1"/>
  <c r="L466" i="1" s="1"/>
  <c r="J465" i="1"/>
  <c r="K465" i="1" s="1"/>
  <c r="L465" i="1" s="1"/>
  <c r="J464" i="1"/>
  <c r="K464" i="1" s="1"/>
  <c r="L464" i="1" s="1"/>
  <c r="J463" i="1"/>
  <c r="K463" i="1" s="1"/>
  <c r="L463" i="1" s="1"/>
  <c r="J462" i="1"/>
  <c r="K462" i="1" s="1"/>
  <c r="L462" i="1" s="1"/>
  <c r="J461" i="1"/>
  <c r="K461" i="1" s="1"/>
  <c r="L461" i="1" s="1"/>
  <c r="J460" i="1"/>
  <c r="K460" i="1" s="1"/>
  <c r="L460" i="1" s="1"/>
  <c r="J459" i="1"/>
  <c r="K459" i="1" s="1"/>
  <c r="L459" i="1" s="1"/>
  <c r="J458" i="1"/>
  <c r="K458" i="1" s="1"/>
  <c r="L458" i="1" s="1"/>
  <c r="J457" i="1"/>
  <c r="K457" i="1" s="1"/>
  <c r="L457" i="1" s="1"/>
  <c r="J456" i="1"/>
  <c r="K456" i="1" s="1"/>
  <c r="L456" i="1" s="1"/>
  <c r="J455" i="1"/>
  <c r="K455" i="1" s="1"/>
  <c r="L455" i="1" s="1"/>
  <c r="J454" i="1"/>
  <c r="K454" i="1" s="1"/>
  <c r="L454" i="1" s="1"/>
  <c r="J453" i="1"/>
  <c r="K453" i="1" s="1"/>
  <c r="L453" i="1" s="1"/>
  <c r="J452" i="1"/>
  <c r="K452" i="1" s="1"/>
  <c r="L452" i="1" s="1"/>
  <c r="J451" i="1"/>
  <c r="K451" i="1" s="1"/>
  <c r="L451" i="1" s="1"/>
  <c r="J450" i="1"/>
  <c r="K450" i="1" s="1"/>
  <c r="L450" i="1" s="1"/>
  <c r="J449" i="1"/>
  <c r="K449" i="1" s="1"/>
  <c r="L449" i="1" s="1"/>
  <c r="J448" i="1"/>
  <c r="K448" i="1" s="1"/>
  <c r="L448" i="1" s="1"/>
  <c r="J447" i="1"/>
  <c r="K447" i="1" s="1"/>
  <c r="L447" i="1" s="1"/>
  <c r="J446" i="1"/>
  <c r="K446" i="1" s="1"/>
  <c r="L446" i="1" s="1"/>
  <c r="J445" i="1"/>
  <c r="K445" i="1" s="1"/>
  <c r="L445" i="1" s="1"/>
  <c r="J444" i="1"/>
  <c r="K444" i="1" s="1"/>
  <c r="L444" i="1" s="1"/>
  <c r="J443" i="1"/>
  <c r="K443" i="1" s="1"/>
  <c r="L443" i="1" s="1"/>
  <c r="J442" i="1"/>
  <c r="K442" i="1" s="1"/>
  <c r="L442" i="1" s="1"/>
  <c r="J441" i="1"/>
  <c r="K441" i="1" s="1"/>
  <c r="L441" i="1" s="1"/>
  <c r="J440" i="1"/>
  <c r="K440" i="1" s="1"/>
  <c r="L440" i="1" s="1"/>
  <c r="J439" i="1"/>
  <c r="K439" i="1" s="1"/>
  <c r="L439" i="1" s="1"/>
  <c r="J438" i="1"/>
  <c r="K438" i="1" s="1"/>
  <c r="L438" i="1" s="1"/>
  <c r="J437" i="1"/>
  <c r="K437" i="1" s="1"/>
  <c r="L437" i="1" s="1"/>
  <c r="J436" i="1"/>
  <c r="K436" i="1" s="1"/>
  <c r="L436" i="1" s="1"/>
  <c r="J435" i="1"/>
  <c r="K435" i="1" s="1"/>
  <c r="L435" i="1" s="1"/>
  <c r="J434" i="1"/>
  <c r="K434" i="1" s="1"/>
  <c r="L434" i="1" s="1"/>
  <c r="J433" i="1"/>
  <c r="K433" i="1" s="1"/>
  <c r="L433" i="1" s="1"/>
  <c r="J432" i="1"/>
  <c r="K432" i="1" s="1"/>
  <c r="L432" i="1" s="1"/>
  <c r="J431" i="1"/>
  <c r="K431" i="1" s="1"/>
  <c r="L431" i="1" s="1"/>
  <c r="J430" i="1"/>
  <c r="K430" i="1" s="1"/>
  <c r="L430" i="1" s="1"/>
  <c r="J429" i="1"/>
  <c r="K429" i="1" s="1"/>
  <c r="L429" i="1" s="1"/>
  <c r="J428" i="1"/>
  <c r="K428" i="1" s="1"/>
  <c r="L428" i="1" s="1"/>
  <c r="J427" i="1"/>
  <c r="K427" i="1" s="1"/>
  <c r="L427" i="1" s="1"/>
  <c r="J426" i="1"/>
  <c r="K426" i="1" s="1"/>
  <c r="L426" i="1" s="1"/>
  <c r="J425" i="1"/>
  <c r="K425" i="1" s="1"/>
  <c r="L425" i="1" s="1"/>
  <c r="J424" i="1"/>
  <c r="K424" i="1" s="1"/>
  <c r="L424" i="1" s="1"/>
  <c r="J423" i="1"/>
  <c r="K423" i="1" s="1"/>
  <c r="L423" i="1" s="1"/>
  <c r="J422" i="1"/>
  <c r="K422" i="1" s="1"/>
  <c r="L422" i="1" s="1"/>
  <c r="J421" i="1"/>
  <c r="K421" i="1" s="1"/>
  <c r="L421" i="1" s="1"/>
  <c r="J420" i="1"/>
  <c r="K420" i="1" s="1"/>
  <c r="L420" i="1" s="1"/>
  <c r="J419" i="1"/>
  <c r="K419" i="1" s="1"/>
  <c r="L419" i="1" s="1"/>
  <c r="J418" i="1"/>
  <c r="K418" i="1" s="1"/>
  <c r="L418" i="1" s="1"/>
  <c r="J417" i="1"/>
  <c r="K417" i="1" s="1"/>
  <c r="L417" i="1" s="1"/>
  <c r="J416" i="1"/>
  <c r="K416" i="1" s="1"/>
  <c r="L416" i="1" s="1"/>
  <c r="J415" i="1"/>
  <c r="K415" i="1" s="1"/>
  <c r="L415" i="1" s="1"/>
  <c r="J414" i="1"/>
  <c r="K414" i="1" s="1"/>
  <c r="L414" i="1" s="1"/>
  <c r="J413" i="1"/>
  <c r="K413" i="1" s="1"/>
  <c r="L413" i="1" s="1"/>
  <c r="J412" i="1"/>
  <c r="K412" i="1" s="1"/>
  <c r="L412" i="1" s="1"/>
  <c r="J411" i="1"/>
  <c r="K411" i="1" s="1"/>
  <c r="L411" i="1" s="1"/>
  <c r="J410" i="1"/>
  <c r="K410" i="1" s="1"/>
  <c r="L410" i="1" s="1"/>
  <c r="J409" i="1"/>
  <c r="K409" i="1" s="1"/>
  <c r="L409" i="1" s="1"/>
  <c r="J408" i="1"/>
  <c r="K408" i="1" s="1"/>
  <c r="L408" i="1" s="1"/>
  <c r="J407" i="1"/>
  <c r="K407" i="1" s="1"/>
  <c r="L407" i="1" s="1"/>
  <c r="J406" i="1"/>
  <c r="K406" i="1" s="1"/>
  <c r="L406" i="1" s="1"/>
  <c r="J405" i="1"/>
  <c r="K405" i="1" s="1"/>
  <c r="L405" i="1" s="1"/>
  <c r="J404" i="1"/>
  <c r="K404" i="1" s="1"/>
  <c r="L404" i="1" s="1"/>
  <c r="J403" i="1"/>
  <c r="K403" i="1" s="1"/>
  <c r="L403" i="1" s="1"/>
  <c r="J402" i="1"/>
  <c r="K402" i="1" s="1"/>
  <c r="L402" i="1" s="1"/>
  <c r="J401" i="1"/>
  <c r="K401" i="1" s="1"/>
  <c r="L401" i="1" s="1"/>
  <c r="J400" i="1"/>
  <c r="K400" i="1" s="1"/>
  <c r="L400" i="1" s="1"/>
  <c r="J399" i="1"/>
  <c r="K399" i="1" s="1"/>
  <c r="L399" i="1" s="1"/>
  <c r="J398" i="1"/>
  <c r="K398" i="1" s="1"/>
  <c r="L398" i="1" s="1"/>
  <c r="J397" i="1"/>
  <c r="K397" i="1" s="1"/>
  <c r="L397" i="1" s="1"/>
  <c r="J396" i="1"/>
  <c r="K396" i="1" s="1"/>
  <c r="L396" i="1" s="1"/>
  <c r="J395" i="1"/>
  <c r="K395" i="1" s="1"/>
  <c r="L395" i="1" s="1"/>
  <c r="J394" i="1"/>
  <c r="K394" i="1" s="1"/>
  <c r="L394" i="1" s="1"/>
  <c r="J393" i="1"/>
  <c r="K393" i="1" s="1"/>
  <c r="L393" i="1" s="1"/>
  <c r="J392" i="1"/>
  <c r="K392" i="1" s="1"/>
  <c r="L392" i="1" s="1"/>
  <c r="J391" i="1"/>
  <c r="K391" i="1" s="1"/>
  <c r="L391" i="1" s="1"/>
  <c r="J390" i="1"/>
  <c r="K390" i="1" s="1"/>
  <c r="L390" i="1" s="1"/>
  <c r="J389" i="1"/>
  <c r="K389" i="1" s="1"/>
  <c r="L389" i="1" s="1"/>
  <c r="J388" i="1"/>
  <c r="K388" i="1" s="1"/>
  <c r="L388" i="1" s="1"/>
  <c r="J387" i="1"/>
  <c r="K387" i="1" s="1"/>
  <c r="L387" i="1" s="1"/>
  <c r="J386" i="1"/>
  <c r="K386" i="1" s="1"/>
  <c r="L386" i="1" s="1"/>
  <c r="J385" i="1"/>
  <c r="K385" i="1" s="1"/>
  <c r="L385" i="1" s="1"/>
  <c r="J384" i="1"/>
  <c r="K384" i="1" s="1"/>
  <c r="L384" i="1" s="1"/>
  <c r="J383" i="1"/>
  <c r="K383" i="1" s="1"/>
  <c r="L383" i="1" s="1"/>
  <c r="J382" i="1"/>
  <c r="K382" i="1" s="1"/>
  <c r="L382" i="1" s="1"/>
  <c r="J381" i="1"/>
  <c r="K381" i="1" s="1"/>
  <c r="L381" i="1" s="1"/>
  <c r="J380" i="1"/>
  <c r="K380" i="1" s="1"/>
  <c r="L380" i="1" s="1"/>
  <c r="J379" i="1"/>
  <c r="K379" i="1" s="1"/>
  <c r="L379" i="1" s="1"/>
  <c r="J378" i="1"/>
  <c r="K378" i="1" s="1"/>
  <c r="L378" i="1" s="1"/>
  <c r="J377" i="1"/>
  <c r="K377" i="1" s="1"/>
  <c r="L377" i="1" s="1"/>
  <c r="J376" i="1"/>
  <c r="K376" i="1" s="1"/>
  <c r="L376" i="1" s="1"/>
  <c r="J375" i="1"/>
  <c r="K375" i="1" s="1"/>
  <c r="L375" i="1" s="1"/>
  <c r="J374" i="1"/>
  <c r="K374" i="1" s="1"/>
  <c r="L374" i="1" s="1"/>
  <c r="J373" i="1"/>
  <c r="K373" i="1" s="1"/>
  <c r="L373" i="1" s="1"/>
  <c r="J372" i="1"/>
  <c r="K372" i="1" s="1"/>
  <c r="L372" i="1" s="1"/>
  <c r="J371" i="1"/>
  <c r="K371" i="1" s="1"/>
  <c r="L371" i="1" s="1"/>
  <c r="J370" i="1"/>
  <c r="K370" i="1" s="1"/>
  <c r="L370" i="1" s="1"/>
  <c r="J369" i="1"/>
  <c r="K369" i="1" s="1"/>
  <c r="L369" i="1" s="1"/>
  <c r="J368" i="1"/>
  <c r="K368" i="1" s="1"/>
  <c r="L368" i="1" s="1"/>
  <c r="J367" i="1"/>
  <c r="K367" i="1" s="1"/>
  <c r="L367" i="1" s="1"/>
  <c r="J366" i="1"/>
  <c r="K366" i="1" s="1"/>
  <c r="L366" i="1" s="1"/>
  <c r="J365" i="1"/>
  <c r="K365" i="1" s="1"/>
  <c r="L365" i="1" s="1"/>
  <c r="J364" i="1"/>
  <c r="K364" i="1" s="1"/>
  <c r="L364" i="1" s="1"/>
  <c r="J363" i="1"/>
  <c r="K363" i="1" s="1"/>
  <c r="L363" i="1" s="1"/>
  <c r="J362" i="1"/>
  <c r="K362" i="1" s="1"/>
  <c r="L362" i="1" s="1"/>
  <c r="J361" i="1"/>
  <c r="K361" i="1" s="1"/>
  <c r="L361" i="1" s="1"/>
  <c r="J360" i="1"/>
  <c r="K360" i="1" s="1"/>
  <c r="L360" i="1" s="1"/>
  <c r="J359" i="1"/>
  <c r="K359" i="1" s="1"/>
  <c r="L359" i="1" s="1"/>
  <c r="J358" i="1"/>
  <c r="K358" i="1" s="1"/>
  <c r="L358" i="1" s="1"/>
  <c r="J357" i="1"/>
  <c r="K357" i="1" s="1"/>
  <c r="L357" i="1" s="1"/>
  <c r="J356" i="1"/>
  <c r="K356" i="1" s="1"/>
  <c r="L356" i="1" s="1"/>
  <c r="J355" i="1"/>
  <c r="K355" i="1" s="1"/>
  <c r="L355" i="1" s="1"/>
  <c r="J354" i="1"/>
  <c r="K354" i="1" s="1"/>
  <c r="L354" i="1" s="1"/>
  <c r="J353" i="1"/>
  <c r="K353" i="1" s="1"/>
  <c r="L353" i="1" s="1"/>
  <c r="J352" i="1"/>
  <c r="K352" i="1" s="1"/>
  <c r="L352" i="1" s="1"/>
  <c r="J351" i="1"/>
  <c r="K351" i="1" s="1"/>
  <c r="L351" i="1" s="1"/>
  <c r="J350" i="1"/>
  <c r="K350" i="1" s="1"/>
  <c r="L350" i="1" s="1"/>
  <c r="J349" i="1"/>
  <c r="K349" i="1" s="1"/>
  <c r="L349" i="1" s="1"/>
  <c r="J348" i="1"/>
  <c r="K348" i="1" s="1"/>
  <c r="L348" i="1" s="1"/>
  <c r="J347" i="1"/>
  <c r="K347" i="1" s="1"/>
  <c r="L347" i="1" s="1"/>
  <c r="J346" i="1"/>
  <c r="K346" i="1" s="1"/>
  <c r="L346" i="1" s="1"/>
  <c r="J345" i="1"/>
  <c r="K345" i="1" s="1"/>
  <c r="L345" i="1" s="1"/>
  <c r="J344" i="1"/>
  <c r="K344" i="1" s="1"/>
  <c r="L344" i="1" s="1"/>
  <c r="J343" i="1"/>
  <c r="K343" i="1" s="1"/>
  <c r="L343" i="1" s="1"/>
  <c r="J342" i="1"/>
  <c r="K342" i="1" s="1"/>
  <c r="L342" i="1" s="1"/>
  <c r="J341" i="1"/>
  <c r="K341" i="1" s="1"/>
  <c r="L341" i="1" s="1"/>
  <c r="J340" i="1"/>
  <c r="K340" i="1" s="1"/>
  <c r="L340" i="1" s="1"/>
  <c r="J339" i="1"/>
  <c r="K339" i="1" s="1"/>
  <c r="L339" i="1" s="1"/>
  <c r="J338" i="1"/>
  <c r="K338" i="1" s="1"/>
  <c r="L338" i="1" s="1"/>
  <c r="J337" i="1"/>
  <c r="K337" i="1" s="1"/>
  <c r="L337" i="1" s="1"/>
  <c r="J336" i="1"/>
  <c r="K336" i="1" s="1"/>
  <c r="L336" i="1" s="1"/>
  <c r="J335" i="1"/>
  <c r="K335" i="1" s="1"/>
  <c r="L335" i="1" s="1"/>
  <c r="J334" i="1"/>
  <c r="K334" i="1" s="1"/>
  <c r="L334" i="1" s="1"/>
  <c r="J333" i="1"/>
  <c r="K333" i="1" s="1"/>
  <c r="L333" i="1" s="1"/>
  <c r="J332" i="1"/>
  <c r="K332" i="1" s="1"/>
  <c r="L332" i="1" s="1"/>
  <c r="J331" i="1"/>
  <c r="K331" i="1" s="1"/>
  <c r="L331" i="1" s="1"/>
  <c r="J330" i="1"/>
  <c r="K330" i="1" s="1"/>
  <c r="L330" i="1" s="1"/>
  <c r="J329" i="1"/>
  <c r="K329" i="1" s="1"/>
  <c r="L329" i="1" s="1"/>
  <c r="J328" i="1"/>
  <c r="K328" i="1" s="1"/>
  <c r="L328" i="1" s="1"/>
  <c r="J327" i="1"/>
  <c r="K327" i="1" s="1"/>
  <c r="L327" i="1" s="1"/>
  <c r="J326" i="1"/>
  <c r="K326" i="1" s="1"/>
  <c r="L326" i="1" s="1"/>
  <c r="J325" i="1"/>
  <c r="K325" i="1" s="1"/>
  <c r="L325" i="1" s="1"/>
  <c r="J324" i="1"/>
  <c r="K324" i="1" s="1"/>
  <c r="L324" i="1" s="1"/>
  <c r="J323" i="1"/>
  <c r="K323" i="1" s="1"/>
  <c r="L323" i="1" s="1"/>
  <c r="J322" i="1"/>
  <c r="K322" i="1" s="1"/>
  <c r="L322" i="1" s="1"/>
  <c r="J321" i="1"/>
  <c r="K321" i="1" s="1"/>
  <c r="L321" i="1" s="1"/>
  <c r="J320" i="1"/>
  <c r="K320" i="1" s="1"/>
  <c r="L320" i="1" s="1"/>
  <c r="J319" i="1"/>
  <c r="K319" i="1" s="1"/>
  <c r="L319" i="1" s="1"/>
  <c r="J318" i="1"/>
  <c r="K318" i="1" s="1"/>
  <c r="L318" i="1" s="1"/>
  <c r="J317" i="1"/>
  <c r="K317" i="1" s="1"/>
  <c r="L317" i="1" s="1"/>
  <c r="J316" i="1"/>
  <c r="K316" i="1" s="1"/>
  <c r="L316" i="1" s="1"/>
  <c r="J315" i="1"/>
  <c r="K315" i="1" s="1"/>
  <c r="L315" i="1" s="1"/>
  <c r="J314" i="1"/>
  <c r="K314" i="1" s="1"/>
  <c r="L314" i="1" s="1"/>
  <c r="J313" i="1"/>
  <c r="K313" i="1" s="1"/>
  <c r="L313" i="1" s="1"/>
  <c r="J312" i="1"/>
  <c r="K312" i="1" s="1"/>
  <c r="L312" i="1" s="1"/>
  <c r="J311" i="1"/>
  <c r="K311" i="1" s="1"/>
  <c r="L311" i="1" s="1"/>
  <c r="J310" i="1"/>
  <c r="K310" i="1" s="1"/>
  <c r="L310" i="1" s="1"/>
  <c r="J309" i="1"/>
  <c r="K309" i="1" s="1"/>
  <c r="L309" i="1" s="1"/>
  <c r="J308" i="1"/>
  <c r="K308" i="1" s="1"/>
  <c r="L308" i="1" s="1"/>
  <c r="J307" i="1"/>
  <c r="K307" i="1" s="1"/>
  <c r="L307" i="1" s="1"/>
  <c r="J306" i="1"/>
  <c r="K306" i="1" s="1"/>
  <c r="L306" i="1" s="1"/>
  <c r="J305" i="1"/>
  <c r="K305" i="1" s="1"/>
  <c r="L305" i="1" s="1"/>
  <c r="J304" i="1"/>
  <c r="K304" i="1" s="1"/>
  <c r="L304" i="1" s="1"/>
  <c r="J303" i="1"/>
  <c r="K303" i="1" s="1"/>
  <c r="L303" i="1" s="1"/>
  <c r="J302" i="1"/>
  <c r="K302" i="1" s="1"/>
  <c r="L302" i="1" s="1"/>
  <c r="J301" i="1"/>
  <c r="K301" i="1" s="1"/>
  <c r="L301" i="1" s="1"/>
  <c r="J300" i="1"/>
  <c r="K300" i="1" s="1"/>
  <c r="L300" i="1" s="1"/>
  <c r="J299" i="1"/>
  <c r="K299" i="1" s="1"/>
  <c r="L299" i="1" s="1"/>
  <c r="J298" i="1"/>
  <c r="K298" i="1" s="1"/>
  <c r="L298" i="1" s="1"/>
  <c r="J297" i="1"/>
  <c r="K297" i="1" s="1"/>
  <c r="L297" i="1" s="1"/>
  <c r="J296" i="1"/>
  <c r="K296" i="1" s="1"/>
  <c r="L296" i="1" s="1"/>
  <c r="J295" i="1"/>
  <c r="K295" i="1" s="1"/>
  <c r="L295" i="1" s="1"/>
  <c r="J294" i="1"/>
  <c r="K294" i="1" s="1"/>
  <c r="L294" i="1" s="1"/>
  <c r="J293" i="1"/>
  <c r="K293" i="1" s="1"/>
  <c r="L293" i="1" s="1"/>
  <c r="J292" i="1"/>
  <c r="K292" i="1" s="1"/>
  <c r="L292" i="1" s="1"/>
  <c r="J291" i="1"/>
  <c r="K291" i="1" s="1"/>
  <c r="L291" i="1" s="1"/>
  <c r="J290" i="1"/>
  <c r="K290" i="1" s="1"/>
  <c r="L290" i="1" s="1"/>
  <c r="J289" i="1"/>
  <c r="K289" i="1" s="1"/>
  <c r="L289" i="1" s="1"/>
  <c r="J288" i="1"/>
  <c r="K288" i="1" s="1"/>
  <c r="L288" i="1" s="1"/>
  <c r="J287" i="1"/>
  <c r="K287" i="1" s="1"/>
  <c r="L287" i="1" s="1"/>
  <c r="J286" i="1"/>
  <c r="K286" i="1" s="1"/>
  <c r="L286" i="1" s="1"/>
  <c r="J285" i="1"/>
  <c r="K285" i="1" s="1"/>
  <c r="L285" i="1" s="1"/>
  <c r="J284" i="1"/>
  <c r="K284" i="1" s="1"/>
  <c r="L284" i="1" s="1"/>
  <c r="J283" i="1"/>
  <c r="K283" i="1" s="1"/>
  <c r="L283" i="1" s="1"/>
  <c r="J282" i="1"/>
  <c r="K282" i="1" s="1"/>
  <c r="L282" i="1" s="1"/>
  <c r="J281" i="1"/>
  <c r="K281" i="1" s="1"/>
  <c r="L281" i="1" s="1"/>
  <c r="J280" i="1"/>
  <c r="K280" i="1" s="1"/>
  <c r="L280" i="1" s="1"/>
  <c r="J279" i="1"/>
  <c r="K279" i="1" s="1"/>
  <c r="L279" i="1" s="1"/>
  <c r="J278" i="1"/>
  <c r="K278" i="1" s="1"/>
  <c r="L278" i="1" s="1"/>
  <c r="J277" i="1"/>
  <c r="K277" i="1" s="1"/>
  <c r="L277" i="1" s="1"/>
  <c r="J276" i="1"/>
  <c r="K276" i="1" s="1"/>
  <c r="L276" i="1" s="1"/>
  <c r="J275" i="1"/>
  <c r="K275" i="1" s="1"/>
  <c r="L275" i="1" s="1"/>
  <c r="J274" i="1"/>
  <c r="K274" i="1" s="1"/>
  <c r="L274" i="1" s="1"/>
  <c r="J273" i="1"/>
  <c r="K273" i="1" s="1"/>
  <c r="L273" i="1" s="1"/>
  <c r="J272" i="1"/>
  <c r="K272" i="1" s="1"/>
  <c r="L272" i="1" s="1"/>
  <c r="J271" i="1"/>
  <c r="K271" i="1" s="1"/>
  <c r="L271" i="1" s="1"/>
  <c r="J270" i="1"/>
  <c r="K270" i="1" s="1"/>
  <c r="L270" i="1" s="1"/>
  <c r="J269" i="1"/>
  <c r="K269" i="1" s="1"/>
  <c r="L269" i="1" s="1"/>
  <c r="J268" i="1"/>
  <c r="K268" i="1" s="1"/>
  <c r="L268" i="1" s="1"/>
  <c r="J267" i="1"/>
  <c r="K267" i="1" s="1"/>
  <c r="L267" i="1" s="1"/>
  <c r="J266" i="1"/>
  <c r="K266" i="1" s="1"/>
  <c r="L266" i="1" s="1"/>
  <c r="J265" i="1"/>
  <c r="K265" i="1" s="1"/>
  <c r="L265" i="1" s="1"/>
  <c r="J264" i="1"/>
  <c r="K264" i="1" s="1"/>
  <c r="L264" i="1" s="1"/>
  <c r="J263" i="1"/>
  <c r="K263" i="1" s="1"/>
  <c r="L263" i="1" s="1"/>
  <c r="J262" i="1"/>
  <c r="K262" i="1" s="1"/>
  <c r="L262" i="1" s="1"/>
  <c r="J261" i="1"/>
  <c r="K261" i="1" s="1"/>
  <c r="L261" i="1" s="1"/>
  <c r="J260" i="1"/>
  <c r="K260" i="1" s="1"/>
  <c r="L260" i="1" s="1"/>
  <c r="J259" i="1"/>
  <c r="K259" i="1" s="1"/>
  <c r="L259" i="1" s="1"/>
  <c r="J258" i="1"/>
  <c r="K258" i="1" s="1"/>
  <c r="L258" i="1" s="1"/>
  <c r="J257" i="1"/>
  <c r="K257" i="1" s="1"/>
  <c r="L257" i="1" s="1"/>
  <c r="J256" i="1"/>
  <c r="K256" i="1" s="1"/>
  <c r="L256" i="1" s="1"/>
  <c r="J255" i="1"/>
  <c r="K255" i="1" s="1"/>
  <c r="L255" i="1" s="1"/>
  <c r="J254" i="1"/>
  <c r="K254" i="1" s="1"/>
  <c r="L254" i="1" s="1"/>
  <c r="J253" i="1"/>
  <c r="K253" i="1" s="1"/>
  <c r="L253" i="1" s="1"/>
  <c r="J252" i="1"/>
  <c r="K252" i="1" s="1"/>
  <c r="L252" i="1" s="1"/>
  <c r="J251" i="1"/>
  <c r="K251" i="1" s="1"/>
  <c r="L251" i="1" s="1"/>
  <c r="J250" i="1"/>
  <c r="K250" i="1" s="1"/>
  <c r="L250" i="1" s="1"/>
  <c r="J249" i="1"/>
  <c r="K249" i="1" s="1"/>
  <c r="L249" i="1" s="1"/>
  <c r="J248" i="1"/>
  <c r="K248" i="1" s="1"/>
  <c r="L248" i="1" s="1"/>
  <c r="J247" i="1"/>
  <c r="K247" i="1" s="1"/>
  <c r="L247" i="1" s="1"/>
  <c r="J246" i="1"/>
  <c r="K246" i="1" s="1"/>
  <c r="L246" i="1" s="1"/>
  <c r="J245" i="1"/>
  <c r="K245" i="1" s="1"/>
  <c r="L245" i="1" s="1"/>
  <c r="J244" i="1"/>
  <c r="K244" i="1" s="1"/>
  <c r="L244" i="1" s="1"/>
  <c r="J243" i="1"/>
  <c r="K243" i="1" s="1"/>
  <c r="L243" i="1" s="1"/>
  <c r="J242" i="1"/>
  <c r="K242" i="1" s="1"/>
  <c r="L242" i="1" s="1"/>
  <c r="J241" i="1"/>
  <c r="K241" i="1" s="1"/>
  <c r="L241" i="1" s="1"/>
  <c r="J240" i="1"/>
  <c r="K240" i="1" s="1"/>
  <c r="L240" i="1" s="1"/>
  <c r="J239" i="1"/>
  <c r="K239" i="1" s="1"/>
  <c r="L239" i="1" s="1"/>
  <c r="J238" i="1"/>
  <c r="K238" i="1" s="1"/>
  <c r="L238" i="1" s="1"/>
  <c r="J237" i="1"/>
  <c r="K237" i="1" s="1"/>
  <c r="L237" i="1" s="1"/>
  <c r="J236" i="1"/>
  <c r="K236" i="1" s="1"/>
  <c r="L236" i="1" s="1"/>
  <c r="J235" i="1"/>
  <c r="K235" i="1" s="1"/>
  <c r="L235" i="1" s="1"/>
  <c r="J234" i="1"/>
  <c r="K234" i="1" s="1"/>
  <c r="L234" i="1" s="1"/>
  <c r="J233" i="1"/>
  <c r="K233" i="1" s="1"/>
  <c r="L233" i="1" s="1"/>
  <c r="J232" i="1"/>
  <c r="K232" i="1" s="1"/>
  <c r="L232" i="1" s="1"/>
  <c r="J231" i="1"/>
  <c r="K231" i="1" s="1"/>
  <c r="L231" i="1" s="1"/>
  <c r="J230" i="1"/>
  <c r="K230" i="1" s="1"/>
  <c r="L230" i="1" s="1"/>
  <c r="J229" i="1"/>
  <c r="K229" i="1" s="1"/>
  <c r="L229" i="1" s="1"/>
  <c r="J228" i="1"/>
  <c r="K228" i="1" s="1"/>
  <c r="L228" i="1" s="1"/>
  <c r="J227" i="1"/>
  <c r="K227" i="1" s="1"/>
  <c r="L227" i="1" s="1"/>
  <c r="J226" i="1"/>
  <c r="K226" i="1" s="1"/>
  <c r="L226" i="1" s="1"/>
  <c r="J225" i="1"/>
  <c r="K225" i="1" s="1"/>
  <c r="L225" i="1" s="1"/>
  <c r="J224" i="1"/>
  <c r="K224" i="1" s="1"/>
  <c r="L224" i="1" s="1"/>
  <c r="J223" i="1"/>
  <c r="K223" i="1" s="1"/>
  <c r="L223" i="1" s="1"/>
  <c r="J222" i="1"/>
  <c r="K222" i="1" s="1"/>
  <c r="L222" i="1" s="1"/>
  <c r="J221" i="1"/>
  <c r="K221" i="1" s="1"/>
  <c r="L221" i="1" s="1"/>
  <c r="J220" i="1"/>
  <c r="K220" i="1" s="1"/>
  <c r="L220" i="1" s="1"/>
  <c r="J219" i="1"/>
  <c r="K219" i="1" s="1"/>
  <c r="L219" i="1" s="1"/>
  <c r="J218" i="1"/>
  <c r="K218" i="1" s="1"/>
  <c r="L218" i="1" s="1"/>
  <c r="J217" i="1"/>
  <c r="K217" i="1" s="1"/>
  <c r="L217" i="1" s="1"/>
  <c r="J216" i="1"/>
  <c r="K216" i="1" s="1"/>
  <c r="L216" i="1" s="1"/>
  <c r="J215" i="1"/>
  <c r="K215" i="1" s="1"/>
  <c r="L215" i="1" s="1"/>
  <c r="J214" i="1"/>
  <c r="K214" i="1" s="1"/>
  <c r="L214" i="1" s="1"/>
  <c r="J213" i="1"/>
  <c r="K213" i="1" s="1"/>
  <c r="L213" i="1" s="1"/>
  <c r="J212" i="1"/>
  <c r="K212" i="1" s="1"/>
  <c r="L212" i="1" s="1"/>
  <c r="J211" i="1"/>
  <c r="K211" i="1" s="1"/>
  <c r="L211" i="1" s="1"/>
  <c r="J210" i="1"/>
  <c r="K210" i="1" s="1"/>
  <c r="L210" i="1" s="1"/>
  <c r="J209" i="1"/>
  <c r="K209" i="1" s="1"/>
  <c r="L209" i="1" s="1"/>
  <c r="J208" i="1"/>
  <c r="K208" i="1" s="1"/>
  <c r="L208" i="1" s="1"/>
  <c r="J207" i="1"/>
  <c r="K207" i="1" s="1"/>
  <c r="L207" i="1" s="1"/>
  <c r="J206" i="1"/>
  <c r="K206" i="1" s="1"/>
  <c r="L206" i="1" s="1"/>
  <c r="J205" i="1"/>
  <c r="K205" i="1" s="1"/>
  <c r="L205" i="1" s="1"/>
  <c r="J204" i="1"/>
  <c r="K204" i="1" s="1"/>
  <c r="L204" i="1" s="1"/>
  <c r="J203" i="1"/>
  <c r="K203" i="1" s="1"/>
  <c r="L203" i="1" s="1"/>
  <c r="J202" i="1"/>
  <c r="K202" i="1" s="1"/>
  <c r="L202" i="1" s="1"/>
  <c r="J201" i="1"/>
  <c r="K201" i="1" s="1"/>
  <c r="L201" i="1" s="1"/>
  <c r="J200" i="1"/>
  <c r="K200" i="1" s="1"/>
  <c r="L200" i="1" s="1"/>
  <c r="J199" i="1"/>
  <c r="K199" i="1" s="1"/>
  <c r="L199" i="1" s="1"/>
  <c r="J198" i="1"/>
  <c r="K198" i="1" s="1"/>
  <c r="L198" i="1" s="1"/>
  <c r="J197" i="1"/>
  <c r="K197" i="1" s="1"/>
  <c r="L197" i="1" s="1"/>
  <c r="J196" i="1"/>
  <c r="K196" i="1" s="1"/>
  <c r="L196" i="1" s="1"/>
  <c r="J195" i="1"/>
  <c r="K195" i="1" s="1"/>
  <c r="L195" i="1" s="1"/>
  <c r="J194" i="1"/>
  <c r="K194" i="1" s="1"/>
  <c r="L194" i="1" s="1"/>
  <c r="J193" i="1"/>
  <c r="K193" i="1" s="1"/>
  <c r="L193" i="1" s="1"/>
  <c r="J192" i="1"/>
  <c r="K192" i="1" s="1"/>
  <c r="L192" i="1" s="1"/>
  <c r="J191" i="1"/>
  <c r="K191" i="1" s="1"/>
  <c r="L191" i="1" s="1"/>
  <c r="J189" i="1"/>
  <c r="K189" i="1" s="1"/>
  <c r="L189" i="1" s="1"/>
  <c r="J188" i="1"/>
  <c r="K188" i="1" s="1"/>
  <c r="L188" i="1" s="1"/>
  <c r="J187" i="1"/>
  <c r="K187" i="1" s="1"/>
  <c r="L187" i="1" s="1"/>
  <c r="J186" i="1"/>
  <c r="K186" i="1" s="1"/>
  <c r="L186" i="1" s="1"/>
  <c r="J185" i="1"/>
  <c r="K185" i="1" s="1"/>
  <c r="L185" i="1" s="1"/>
  <c r="J184" i="1"/>
  <c r="K184" i="1" s="1"/>
  <c r="L184" i="1" s="1"/>
  <c r="J183" i="1"/>
  <c r="K183" i="1" s="1"/>
  <c r="L183" i="1" s="1"/>
  <c r="J182" i="1"/>
  <c r="K182" i="1" s="1"/>
  <c r="L182" i="1" s="1"/>
  <c r="J181" i="1"/>
  <c r="K181" i="1" s="1"/>
  <c r="L181" i="1" s="1"/>
  <c r="J180" i="1"/>
  <c r="K180" i="1" s="1"/>
  <c r="L180" i="1" s="1"/>
  <c r="J179" i="1"/>
  <c r="K179" i="1" s="1"/>
  <c r="L179" i="1" s="1"/>
  <c r="J178" i="1"/>
  <c r="K178" i="1" s="1"/>
  <c r="L178" i="1" s="1"/>
  <c r="J177" i="1"/>
  <c r="K177" i="1" s="1"/>
  <c r="L177" i="1" s="1"/>
  <c r="J176" i="1"/>
  <c r="K176" i="1" s="1"/>
  <c r="L176" i="1" s="1"/>
  <c r="J175" i="1"/>
  <c r="K175" i="1" s="1"/>
  <c r="L175" i="1" s="1"/>
  <c r="J174" i="1"/>
  <c r="K174" i="1" s="1"/>
  <c r="L174" i="1" s="1"/>
  <c r="J173" i="1"/>
  <c r="K173" i="1" s="1"/>
  <c r="L173" i="1" s="1"/>
  <c r="J172" i="1"/>
  <c r="K172" i="1" s="1"/>
  <c r="L172" i="1" s="1"/>
  <c r="J171" i="1"/>
  <c r="K171" i="1" s="1"/>
  <c r="L171" i="1" s="1"/>
  <c r="J170" i="1"/>
  <c r="K170" i="1" s="1"/>
  <c r="L170" i="1" s="1"/>
  <c r="J169" i="1"/>
  <c r="K169" i="1" s="1"/>
  <c r="L169" i="1" s="1"/>
  <c r="J168" i="1"/>
  <c r="K168" i="1" s="1"/>
  <c r="L168" i="1" s="1"/>
  <c r="J167" i="1"/>
  <c r="K167" i="1" s="1"/>
  <c r="L167" i="1" s="1"/>
  <c r="J166" i="1"/>
  <c r="K166" i="1" s="1"/>
  <c r="L166" i="1" s="1"/>
  <c r="J165" i="1"/>
  <c r="K165" i="1" s="1"/>
  <c r="L165" i="1" s="1"/>
  <c r="J164" i="1"/>
  <c r="K164" i="1" s="1"/>
  <c r="L164" i="1" s="1"/>
  <c r="J163" i="1"/>
  <c r="K163" i="1" s="1"/>
  <c r="L163" i="1" s="1"/>
  <c r="J162" i="1"/>
  <c r="K162" i="1" s="1"/>
  <c r="L162" i="1" s="1"/>
  <c r="J161" i="1"/>
  <c r="K161" i="1" s="1"/>
  <c r="L161" i="1" s="1"/>
  <c r="J160" i="1"/>
  <c r="K160" i="1" s="1"/>
  <c r="L160" i="1" s="1"/>
  <c r="J159" i="1"/>
  <c r="K159" i="1" s="1"/>
  <c r="L159" i="1" s="1"/>
  <c r="J158" i="1"/>
  <c r="K158" i="1" s="1"/>
  <c r="L158" i="1" s="1"/>
  <c r="J157" i="1"/>
  <c r="K157" i="1" s="1"/>
  <c r="L157" i="1" s="1"/>
  <c r="J156" i="1"/>
  <c r="K156" i="1" s="1"/>
  <c r="L156" i="1" s="1"/>
  <c r="J155" i="1"/>
  <c r="K155" i="1" s="1"/>
  <c r="L155" i="1" s="1"/>
  <c r="J154" i="1"/>
  <c r="K154" i="1" s="1"/>
  <c r="L154" i="1" s="1"/>
  <c r="J153" i="1"/>
  <c r="K153" i="1" s="1"/>
  <c r="L153" i="1" s="1"/>
  <c r="J152" i="1"/>
  <c r="K152" i="1" s="1"/>
  <c r="L152" i="1" s="1"/>
  <c r="J151" i="1"/>
  <c r="K151" i="1" s="1"/>
  <c r="L151" i="1" s="1"/>
  <c r="J150" i="1"/>
  <c r="K150" i="1" s="1"/>
  <c r="L150" i="1" s="1"/>
  <c r="J149" i="1"/>
  <c r="K149" i="1" s="1"/>
  <c r="L149" i="1" s="1"/>
  <c r="J148" i="1"/>
  <c r="K148" i="1" s="1"/>
  <c r="L148" i="1" s="1"/>
  <c r="J147" i="1"/>
  <c r="K147" i="1" s="1"/>
  <c r="L147" i="1" s="1"/>
  <c r="J146" i="1"/>
  <c r="K146" i="1" s="1"/>
  <c r="L146" i="1" s="1"/>
  <c r="J145" i="1"/>
  <c r="K145" i="1" s="1"/>
  <c r="L145" i="1" s="1"/>
  <c r="J144" i="1"/>
  <c r="K144" i="1" s="1"/>
  <c r="L144" i="1" s="1"/>
  <c r="J143" i="1"/>
  <c r="K143" i="1" s="1"/>
  <c r="L143" i="1" s="1"/>
  <c r="J142" i="1"/>
  <c r="K142" i="1" s="1"/>
  <c r="L142" i="1" s="1"/>
  <c r="J141" i="1"/>
  <c r="K141" i="1" s="1"/>
  <c r="L141" i="1" s="1"/>
  <c r="J140" i="1"/>
  <c r="K140" i="1" s="1"/>
  <c r="L140" i="1" s="1"/>
  <c r="J139" i="1"/>
  <c r="K139" i="1" s="1"/>
  <c r="L139" i="1" s="1"/>
  <c r="J138" i="1"/>
  <c r="K138" i="1" s="1"/>
  <c r="L138" i="1" s="1"/>
  <c r="J137" i="1"/>
  <c r="K137" i="1" s="1"/>
  <c r="L137" i="1" s="1"/>
  <c r="J136" i="1"/>
  <c r="K136" i="1" s="1"/>
  <c r="L136" i="1" s="1"/>
  <c r="J135" i="1"/>
  <c r="K135" i="1" s="1"/>
  <c r="L135" i="1" s="1"/>
  <c r="J134" i="1"/>
  <c r="K134" i="1" s="1"/>
  <c r="L134" i="1" s="1"/>
  <c r="J133" i="1"/>
  <c r="K133" i="1" s="1"/>
  <c r="L133" i="1" s="1"/>
  <c r="J132" i="1"/>
  <c r="K132" i="1" s="1"/>
  <c r="L132" i="1" s="1"/>
  <c r="J131" i="1"/>
  <c r="K131" i="1" s="1"/>
  <c r="L131" i="1" s="1"/>
  <c r="J130" i="1"/>
  <c r="K130" i="1" s="1"/>
  <c r="L130" i="1" s="1"/>
  <c r="J129" i="1"/>
  <c r="K129" i="1" s="1"/>
  <c r="L129" i="1" s="1"/>
  <c r="J128" i="1"/>
  <c r="K128" i="1" s="1"/>
  <c r="L128" i="1" s="1"/>
  <c r="J127" i="1"/>
  <c r="K127" i="1" s="1"/>
  <c r="L127" i="1" s="1"/>
  <c r="J126" i="1"/>
  <c r="K126" i="1" s="1"/>
  <c r="L126" i="1" s="1"/>
  <c r="J125" i="1"/>
  <c r="K125" i="1" s="1"/>
  <c r="L125" i="1" s="1"/>
  <c r="J124" i="1"/>
  <c r="K124" i="1" s="1"/>
  <c r="L124" i="1" s="1"/>
  <c r="J123" i="1"/>
  <c r="K123" i="1" s="1"/>
  <c r="L123" i="1" s="1"/>
  <c r="J122" i="1"/>
  <c r="K122" i="1" s="1"/>
  <c r="L122" i="1" s="1"/>
  <c r="J121" i="1"/>
  <c r="K121" i="1" s="1"/>
  <c r="L121" i="1" s="1"/>
  <c r="J120" i="1"/>
  <c r="K120" i="1" s="1"/>
  <c r="L120" i="1" s="1"/>
  <c r="J119" i="1"/>
  <c r="K119" i="1" s="1"/>
  <c r="L119" i="1" s="1"/>
  <c r="J118" i="1"/>
  <c r="K118" i="1" s="1"/>
  <c r="L118" i="1" s="1"/>
  <c r="J117" i="1"/>
  <c r="K117" i="1" s="1"/>
  <c r="L117" i="1" s="1"/>
  <c r="J116" i="1"/>
  <c r="K116" i="1" s="1"/>
  <c r="L116" i="1" s="1"/>
  <c r="J115" i="1"/>
  <c r="K115" i="1" s="1"/>
  <c r="L115" i="1" s="1"/>
  <c r="J114" i="1"/>
  <c r="K114" i="1" s="1"/>
  <c r="L114" i="1" s="1"/>
  <c r="J113" i="1"/>
  <c r="K113" i="1" s="1"/>
  <c r="L113" i="1" s="1"/>
  <c r="J112" i="1"/>
  <c r="K112" i="1" s="1"/>
  <c r="L112" i="1" s="1"/>
  <c r="J111" i="1"/>
  <c r="K111" i="1" s="1"/>
  <c r="L111" i="1" s="1"/>
  <c r="J110" i="1"/>
  <c r="K110" i="1" s="1"/>
  <c r="L110" i="1" s="1"/>
  <c r="J109" i="1"/>
  <c r="K109" i="1" s="1"/>
  <c r="L109" i="1" s="1"/>
  <c r="J108" i="1"/>
  <c r="K108" i="1" s="1"/>
  <c r="L108" i="1" s="1"/>
  <c r="J107" i="1"/>
  <c r="K107" i="1" s="1"/>
  <c r="L107" i="1" s="1"/>
  <c r="J106" i="1"/>
  <c r="K106" i="1" s="1"/>
  <c r="L106" i="1" s="1"/>
  <c r="J105" i="1"/>
  <c r="K105" i="1" s="1"/>
  <c r="L105" i="1" s="1"/>
  <c r="J104" i="1"/>
  <c r="K104" i="1" s="1"/>
  <c r="L104" i="1" s="1"/>
  <c r="J103" i="1"/>
  <c r="K103" i="1" s="1"/>
  <c r="L103" i="1" s="1"/>
  <c r="J102" i="1"/>
  <c r="K102" i="1" s="1"/>
  <c r="L102" i="1" s="1"/>
  <c r="J101" i="1"/>
  <c r="K101" i="1" s="1"/>
  <c r="L101" i="1" s="1"/>
  <c r="J100" i="1"/>
  <c r="K100" i="1" s="1"/>
  <c r="L100" i="1" s="1"/>
  <c r="J99" i="1"/>
  <c r="K99" i="1" s="1"/>
  <c r="L99" i="1" s="1"/>
  <c r="J98" i="1"/>
  <c r="K98" i="1" s="1"/>
  <c r="L98" i="1" s="1"/>
  <c r="J97" i="1"/>
  <c r="K97" i="1" s="1"/>
  <c r="L97" i="1" s="1"/>
  <c r="J96" i="1"/>
  <c r="K96" i="1" s="1"/>
  <c r="L96" i="1" s="1"/>
  <c r="J95" i="1"/>
  <c r="K95" i="1" s="1"/>
  <c r="L95" i="1" s="1"/>
  <c r="J94" i="1"/>
  <c r="K94" i="1" s="1"/>
  <c r="L94" i="1" s="1"/>
  <c r="J93" i="1"/>
  <c r="K93" i="1" s="1"/>
  <c r="L93" i="1" s="1"/>
  <c r="J92" i="1"/>
  <c r="K92" i="1" s="1"/>
  <c r="L92" i="1" s="1"/>
  <c r="J91" i="1"/>
  <c r="K91" i="1" s="1"/>
  <c r="L91" i="1" s="1"/>
  <c r="J90" i="1"/>
  <c r="K90" i="1" s="1"/>
  <c r="L90" i="1" s="1"/>
  <c r="J89" i="1"/>
  <c r="K89" i="1" s="1"/>
  <c r="L89" i="1" s="1"/>
  <c r="J88" i="1"/>
  <c r="K88" i="1" s="1"/>
  <c r="L88" i="1" s="1"/>
  <c r="J87" i="1"/>
  <c r="K87" i="1" s="1"/>
  <c r="L87" i="1" s="1"/>
  <c r="J86" i="1"/>
  <c r="K86" i="1" s="1"/>
  <c r="L86" i="1" s="1"/>
  <c r="J85" i="1"/>
  <c r="K85" i="1" s="1"/>
  <c r="L85" i="1" s="1"/>
  <c r="J84" i="1"/>
  <c r="K84" i="1" s="1"/>
  <c r="L84" i="1" s="1"/>
  <c r="J83" i="1"/>
  <c r="K83" i="1" s="1"/>
  <c r="L83" i="1" s="1"/>
  <c r="J82" i="1"/>
  <c r="K82" i="1" s="1"/>
  <c r="L82" i="1" s="1"/>
  <c r="J81" i="1"/>
  <c r="K81" i="1" s="1"/>
  <c r="L81" i="1" s="1"/>
  <c r="J80" i="1"/>
  <c r="K80" i="1" s="1"/>
  <c r="L80" i="1" s="1"/>
  <c r="J79" i="1"/>
  <c r="K79" i="1" s="1"/>
  <c r="L79" i="1" s="1"/>
  <c r="J78" i="1"/>
  <c r="K78" i="1" s="1"/>
  <c r="L78" i="1" s="1"/>
  <c r="J77" i="1"/>
  <c r="K77" i="1" s="1"/>
  <c r="L77" i="1" s="1"/>
  <c r="J76" i="1"/>
  <c r="K76" i="1" s="1"/>
  <c r="L76" i="1" s="1"/>
  <c r="J75" i="1"/>
  <c r="K75" i="1" s="1"/>
  <c r="L75" i="1" s="1"/>
  <c r="J74" i="1"/>
  <c r="K74" i="1" s="1"/>
  <c r="L74" i="1" s="1"/>
  <c r="J73" i="1"/>
  <c r="K73" i="1" s="1"/>
  <c r="L73" i="1" s="1"/>
  <c r="J72" i="1"/>
  <c r="K72" i="1" s="1"/>
  <c r="L72" i="1" s="1"/>
  <c r="J71" i="1"/>
  <c r="K71" i="1" s="1"/>
  <c r="L71" i="1" s="1"/>
  <c r="J70" i="1"/>
  <c r="K70" i="1" s="1"/>
  <c r="L70" i="1" s="1"/>
  <c r="J69" i="1"/>
  <c r="K69" i="1" s="1"/>
  <c r="L69" i="1" s="1"/>
  <c r="J68" i="1"/>
  <c r="K68" i="1" s="1"/>
  <c r="L68" i="1" s="1"/>
  <c r="J67" i="1"/>
  <c r="K67" i="1" s="1"/>
  <c r="L67" i="1" s="1"/>
  <c r="J66" i="1"/>
  <c r="K66" i="1" s="1"/>
  <c r="L66" i="1" s="1"/>
  <c r="J65" i="1"/>
  <c r="K65" i="1" s="1"/>
  <c r="L65" i="1" s="1"/>
  <c r="J64" i="1"/>
  <c r="K64" i="1" s="1"/>
  <c r="L64" i="1" s="1"/>
  <c r="J63" i="1"/>
  <c r="K63" i="1" s="1"/>
  <c r="L63" i="1" s="1"/>
  <c r="J62" i="1"/>
  <c r="K62" i="1" s="1"/>
  <c r="L62" i="1" s="1"/>
  <c r="J61" i="1"/>
  <c r="K61" i="1" s="1"/>
  <c r="L61" i="1" s="1"/>
  <c r="J60" i="1"/>
  <c r="K60" i="1" s="1"/>
  <c r="L60" i="1" s="1"/>
  <c r="J59" i="1"/>
  <c r="K59" i="1" s="1"/>
  <c r="L59" i="1" s="1"/>
  <c r="J58" i="1"/>
  <c r="K58" i="1" s="1"/>
  <c r="L58" i="1" s="1"/>
  <c r="J57" i="1"/>
  <c r="K57" i="1" s="1"/>
  <c r="L57" i="1" s="1"/>
  <c r="J56" i="1"/>
  <c r="K56" i="1" s="1"/>
  <c r="L56" i="1" s="1"/>
  <c r="J55" i="1"/>
  <c r="K55" i="1" s="1"/>
  <c r="L55" i="1" s="1"/>
  <c r="J54" i="1"/>
  <c r="K54" i="1" s="1"/>
  <c r="L54" i="1" s="1"/>
  <c r="J53" i="1"/>
  <c r="K53" i="1" s="1"/>
  <c r="L53" i="1" s="1"/>
  <c r="J52" i="1"/>
  <c r="K52" i="1" s="1"/>
  <c r="L52" i="1" s="1"/>
  <c r="J51" i="1"/>
  <c r="K51" i="1" s="1"/>
  <c r="L51" i="1" s="1"/>
  <c r="J50" i="1"/>
  <c r="K50" i="1" s="1"/>
  <c r="L50" i="1" s="1"/>
  <c r="J49" i="1"/>
  <c r="K49" i="1" s="1"/>
  <c r="L49" i="1" s="1"/>
  <c r="J48" i="1"/>
  <c r="K48" i="1" s="1"/>
  <c r="L48" i="1" s="1"/>
  <c r="J47" i="1"/>
  <c r="K47" i="1" s="1"/>
  <c r="L47" i="1" s="1"/>
  <c r="J46" i="1"/>
  <c r="K46" i="1" s="1"/>
  <c r="L46" i="1" s="1"/>
  <c r="J45" i="1"/>
  <c r="K45" i="1" s="1"/>
  <c r="L45" i="1" s="1"/>
  <c r="J44" i="1"/>
  <c r="K44" i="1" s="1"/>
  <c r="L44" i="1" s="1"/>
  <c r="J43" i="1"/>
  <c r="K43" i="1" s="1"/>
  <c r="L43" i="1" s="1"/>
  <c r="J42" i="1"/>
  <c r="K42" i="1" s="1"/>
  <c r="L42" i="1" s="1"/>
  <c r="J41" i="1"/>
  <c r="K41" i="1" s="1"/>
  <c r="L41" i="1" s="1"/>
  <c r="J40" i="1"/>
  <c r="K40" i="1" s="1"/>
  <c r="L40" i="1" s="1"/>
  <c r="J39" i="1"/>
  <c r="K39" i="1" s="1"/>
  <c r="L39" i="1" s="1"/>
  <c r="J38" i="1"/>
  <c r="K38" i="1" s="1"/>
  <c r="L38" i="1" s="1"/>
  <c r="J37" i="1"/>
  <c r="K37" i="1" s="1"/>
  <c r="L37" i="1" s="1"/>
  <c r="J36" i="1"/>
  <c r="K36" i="1" s="1"/>
  <c r="L36" i="1" s="1"/>
  <c r="J35" i="1"/>
  <c r="K35" i="1" s="1"/>
  <c r="L35" i="1" s="1"/>
  <c r="J34" i="1"/>
  <c r="K34" i="1" s="1"/>
  <c r="L34" i="1" s="1"/>
  <c r="J33" i="1"/>
  <c r="K33" i="1" s="1"/>
  <c r="L33" i="1" s="1"/>
  <c r="J32" i="1"/>
  <c r="K32" i="1" s="1"/>
  <c r="L32" i="1" s="1"/>
  <c r="J31" i="1"/>
  <c r="K31" i="1" s="1"/>
  <c r="L31" i="1" s="1"/>
  <c r="J30" i="1"/>
  <c r="K30" i="1" s="1"/>
  <c r="L30" i="1" s="1"/>
  <c r="J29" i="1"/>
  <c r="K29" i="1" s="1"/>
  <c r="L29" i="1" s="1"/>
  <c r="J28" i="1"/>
  <c r="K28" i="1" s="1"/>
  <c r="L28" i="1" s="1"/>
  <c r="J27" i="1"/>
  <c r="K27" i="1" s="1"/>
  <c r="L27" i="1" s="1"/>
  <c r="J26" i="1"/>
  <c r="K26" i="1" s="1"/>
  <c r="L26" i="1" s="1"/>
  <c r="J25" i="1"/>
  <c r="K25" i="1" s="1"/>
  <c r="L25" i="1" s="1"/>
  <c r="J24" i="1"/>
  <c r="K24" i="1" s="1"/>
  <c r="L24" i="1" s="1"/>
  <c r="J23" i="1"/>
  <c r="K23" i="1" s="1"/>
  <c r="L23" i="1" s="1"/>
  <c r="J22" i="1"/>
  <c r="K22" i="1" s="1"/>
  <c r="L22" i="1" s="1"/>
  <c r="J21" i="1"/>
  <c r="K21" i="1" s="1"/>
  <c r="L21" i="1" s="1"/>
  <c r="J20" i="1"/>
  <c r="K20" i="1" s="1"/>
  <c r="L20" i="1" s="1"/>
  <c r="J19" i="1"/>
  <c r="K19" i="1" s="1"/>
  <c r="L19" i="1" s="1"/>
  <c r="J18" i="1"/>
  <c r="K18" i="1" s="1"/>
  <c r="L18" i="1" s="1"/>
  <c r="J17" i="1"/>
  <c r="K17" i="1" s="1"/>
  <c r="L17" i="1" s="1"/>
  <c r="J16" i="1"/>
  <c r="K16" i="1" s="1"/>
  <c r="L16" i="1" s="1"/>
  <c r="J15" i="1"/>
  <c r="K15" i="1" s="1"/>
  <c r="L15" i="1" s="1"/>
  <c r="J14" i="1"/>
  <c r="K14" i="1" s="1"/>
  <c r="L14" i="1" s="1"/>
  <c r="J13" i="1"/>
  <c r="K13" i="1" s="1"/>
  <c r="L13" i="1" s="1"/>
  <c r="J12" i="1"/>
  <c r="K12" i="1" s="1"/>
  <c r="L12" i="1" s="1"/>
  <c r="J11" i="1"/>
  <c r="K11" i="1" s="1"/>
  <c r="L11" i="1" s="1"/>
  <c r="J10" i="1"/>
  <c r="K10" i="1" s="1"/>
  <c r="L10" i="1" s="1"/>
  <c r="J9" i="1"/>
  <c r="K9" i="1" s="1"/>
  <c r="L9" i="1" s="1"/>
  <c r="J8" i="1"/>
  <c r="K8" i="1" s="1"/>
  <c r="L8" i="1" s="1"/>
  <c r="J7" i="1"/>
  <c r="K7" i="1" s="1"/>
  <c r="L7" i="1" s="1"/>
  <c r="J6" i="1"/>
  <c r="K6" i="1" s="1"/>
  <c r="L6" i="1" s="1"/>
  <c r="J5" i="1"/>
  <c r="K5" i="1" s="1"/>
  <c r="L5" i="1" s="1"/>
  <c r="J4" i="1"/>
  <c r="K4" i="1" s="1"/>
  <c r="L4" i="1" s="1"/>
  <c r="L792" i="1" l="1"/>
  <c r="L791" i="1"/>
  <c r="L793" i="1" s="1"/>
  <c r="L785" i="1"/>
  <c r="L784" i="1"/>
</calcChain>
</file>

<file path=xl/sharedStrings.xml><?xml version="1.0" encoding="utf-8"?>
<sst xmlns="http://schemas.openxmlformats.org/spreadsheetml/2006/main" count="6018" uniqueCount="3935">
  <si>
    <t xml:space="preserve">Курс доллара/евро на </t>
  </si>
  <si>
    <t>№ п/п</t>
  </si>
  <si>
    <t>ISIN</t>
  </si>
  <si>
    <t>Эмитент</t>
  </si>
  <si>
    <t>Дата</t>
  </si>
  <si>
    <t xml:space="preserve">Внебиржевой рынок. Котировка рубли </t>
  </si>
  <si>
    <t>Биржевой рынок. Котировка дол.сша</t>
  </si>
  <si>
    <t xml:space="preserve">Курс доллара </t>
  </si>
  <si>
    <t>Биржевой рынок. Котировка рубли</t>
  </si>
  <si>
    <t>Отношение В/Б</t>
  </si>
  <si>
    <t>Скидка</t>
  </si>
  <si>
    <t>Источник внебиржевой котировки исторический</t>
  </si>
  <si>
    <t>Источник биржевой котировки исторический</t>
  </si>
  <si>
    <t>Тикер</t>
  </si>
  <si>
    <t>Краткая характеристика</t>
  </si>
  <si>
    <t>страна</t>
  </si>
  <si>
    <t>SNP500</t>
  </si>
  <si>
    <t>Сделок, штук</t>
  </si>
  <si>
    <t>Объем</t>
  </si>
  <si>
    <t>US9013841070</t>
  </si>
  <si>
    <t>2seventy bio, Inc. ORD SHS</t>
  </si>
  <si>
    <t>https://www.moex.com/ru/marketdata/#/mode=instrument&amp;secid=TSVT-RM&amp;boardgroupid=1258&amp;mode_type=history&amp;date_from=2025-07-28</t>
  </si>
  <si>
    <t>https://ru.investing.com/equities/2seventy-bio-historical-data</t>
  </si>
  <si>
    <t>TSVT</t>
  </si>
  <si>
    <t>Производство лекарств и биотехнологии</t>
  </si>
  <si>
    <t>США</t>
  </si>
  <si>
    <t>-</t>
  </si>
  <si>
    <t>US90214J1016</t>
  </si>
  <si>
    <t>2U, INC. ORDSHS</t>
  </si>
  <si>
    <t>https://www.moex.com/ru/marketdata/#/mode=instrument&amp;secid=TWOU-RM&amp;boardgroupid=1258&amp;mode_type=history&amp;date_from=2025-07-28</t>
  </si>
  <si>
    <t>https://ru.investing.com/equities/2u-inc-historical-data?cid=1185384</t>
  </si>
  <si>
    <t>TWOU</t>
  </si>
  <si>
    <t>ИТ сервисы и программное обеспечение</t>
  </si>
  <si>
    <t>US88579Y1010</t>
  </si>
  <si>
    <t>3M Company</t>
  </si>
  <si>
    <t>https://www.moex.com/ru/marketdata/#/mode=instrument&amp;secid=MMM-RM&amp;boardgroupid=1258&amp;mode_type=history&amp;date_from=2025-04-28</t>
  </si>
  <si>
    <t>https://ru.investing.com/equities/3m-co-historical-data</t>
  </si>
  <si>
    <t>MMM</t>
  </si>
  <si>
    <t>Прочее машиностроение и приборостроение</t>
  </si>
  <si>
    <t>+</t>
  </si>
  <si>
    <t>US2829141009</t>
  </si>
  <si>
    <t>8x8, Inc. ORD SHS</t>
  </si>
  <si>
    <t>https://www.moex.com/ru/marketdata/#/mode=instrument&amp;secid=EGHT-RM&amp;boardgroupid=1258&amp;mode_type=history&amp;date_from=2025-07-28</t>
  </si>
  <si>
    <t>https://ru.investing.com/equities/8x8-inc-historical-data</t>
  </si>
  <si>
    <t>EGHT</t>
  </si>
  <si>
    <t>Связь и телекоммуникация</t>
  </si>
  <si>
    <t>US8318652091</t>
  </si>
  <si>
    <t>A O Smith Ord Shs</t>
  </si>
  <si>
    <t>https://www.moex.com/ru/marketdata/#/mode=instrument&amp;secid=AOS-RM&amp;boardgroupid=1258&amp;mode_type=history&amp;date_from=2025-07-28</t>
  </si>
  <si>
    <t>https://ru.investing.com/equities/a.o-smith-corp-historical-data</t>
  </si>
  <si>
    <t>AOS</t>
  </si>
  <si>
    <t>Бытовая техника</t>
  </si>
  <si>
    <t>US0028241000</t>
  </si>
  <si>
    <t>Abbott Laboratories</t>
  </si>
  <si>
    <t>https://www.moex.com/ru/marketdata/#/mode=instrument&amp;secid=ABT-RM&amp;boardgroupid=1258&amp;mode_type=history&amp;date_from=2025-04-28</t>
  </si>
  <si>
    <t>https://ru.investing.com/equities/abbott-laboratories-historical-data</t>
  </si>
  <si>
    <t>ABT</t>
  </si>
  <si>
    <t>Фармацевтическая компания</t>
  </si>
  <si>
    <t>US00287Y1091</t>
  </si>
  <si>
    <t>AbbVie Inc.</t>
  </si>
  <si>
    <t>https://www.moex.com/ru/marketdata/#/mode=instrument&amp;secid=ABBV-RM&amp;boardgroupid=1258&amp;mode_type=history&amp;date_from=2025-04-28</t>
  </si>
  <si>
    <t>https://ru.investing.com/equities/abbvie-inc-historical-data</t>
  </si>
  <si>
    <t>ABBV</t>
  </si>
  <si>
    <t>US0028962076</t>
  </si>
  <si>
    <t>Abercrombie &amp; Fitch_ORDSH CL A</t>
  </si>
  <si>
    <t>https://www.moex.com/ru/marketdata/#/mode=instrument&amp;secid=ANF-RM&amp;boardgroupid=1258&amp;mode_type=history&amp;date_from=2025-07-28</t>
  </si>
  <si>
    <t>https://ru.investing.com/equities/aberc-fitch-a-historical-data</t>
  </si>
  <si>
    <t>ANF</t>
  </si>
  <si>
    <t>Специализированная розничная торговля</t>
  </si>
  <si>
    <t>US0036541003</t>
  </si>
  <si>
    <t>ABIOMED Ord Shs</t>
  </si>
  <si>
    <t>https://www.moex.com/ru/marketdata/#/mode=instrument&amp;secid=ABMD-RM&amp;boardgroupid=1258&amp;mode_type=history&amp;date_from=2025-07-28</t>
  </si>
  <si>
    <t>https://ru.investing.com/equities/abiomed-historical-data</t>
  </si>
  <si>
    <t>ABMD</t>
  </si>
  <si>
    <t>Медицинское оборудование</t>
  </si>
  <si>
    <t>US00402L1070</t>
  </si>
  <si>
    <t>Academy Sports Outdoors ORDSHS</t>
  </si>
  <si>
    <t>https://www.moex.com/ru/marketdata/#/mode=instrument&amp;secid=ASO-RM&amp;boardgroupid=1258&amp;mode_type=history&amp;date_from=2025-07-28</t>
  </si>
  <si>
    <t>https://ru.investing.com/equities/academy-sports-outdoors-inc-historical-data</t>
  </si>
  <si>
    <t>ASO</t>
  </si>
  <si>
    <t>US0042251084</t>
  </si>
  <si>
    <t>Acadia Pharmaceuticals Ord Shs</t>
  </si>
  <si>
    <t>https://www.moex.com/ru/marketdata/#/mode=instrument&amp;secid=ACAD-RM&amp;boardgroupid=1258&amp;mode_type=history&amp;date_from=2025-07-28</t>
  </si>
  <si>
    <t>https://ru.investing.com/equities/acadia-pharmaceuticals-historical-data</t>
  </si>
  <si>
    <t>ACAD</t>
  </si>
  <si>
    <t>IE00B4BNMY34</t>
  </si>
  <si>
    <t>Accenture</t>
  </si>
  <si>
    <t>ACN</t>
  </si>
  <si>
    <t>Консалтинговая компания</t>
  </si>
  <si>
    <t>Ирландия</t>
  </si>
  <si>
    <t>US00507V1098</t>
  </si>
  <si>
    <t>Activision Blizzard, Inc.</t>
  </si>
  <si>
    <t>https://www.moex.com/ru/marketdata/#/mode=instrument&amp;secid=ATVI-RM&amp;boardgroupid=1258&amp;mode_type=history&amp;date_from=2025-07-28</t>
  </si>
  <si>
    <t>https://ru.investing.com/equities/activision-inc-historical-data</t>
  </si>
  <si>
    <t>ATVI</t>
  </si>
  <si>
    <t>Развлечение и досуг</t>
  </si>
  <si>
    <t>DE000A1EWWW0</t>
  </si>
  <si>
    <t>Adidas AG</t>
  </si>
  <si>
    <t>ADSGn</t>
  </si>
  <si>
    <t>Швейная промышленность</t>
  </si>
  <si>
    <t>Германия</t>
  </si>
  <si>
    <t xml:space="preserve"> -</t>
  </si>
  <si>
    <t>US00724F1012</t>
  </si>
  <si>
    <t>Adobe Incorporated</t>
  </si>
  <si>
    <t>https://www.moex.com/ru/marketdata/#/mode=instrument&amp;secid=ADBE-RM&amp;boardgroupid=1258&amp;mode_type=history&amp;date_from=2025-04-28</t>
  </si>
  <si>
    <t>https://ru.investing.com/equities/adobe-sys-inc-historical-data</t>
  </si>
  <si>
    <t>ADBE</t>
  </si>
  <si>
    <t>IT-компания</t>
  </si>
  <si>
    <t>US00751Y1064</t>
  </si>
  <si>
    <t>ADVANCE AUTO PARTS, INC ORDSHS</t>
  </si>
  <si>
    <t>https://www.moex.com/ru/marketdata/#/mode=instrument&amp;secid=AAP-RM&amp;boardgroupid=1258&amp;mode_type=history&amp;date_from=2025-07-28</t>
  </si>
  <si>
    <t>https://ru.investing.com/equities/advance-auto-parts-historical-data</t>
  </si>
  <si>
    <t>AAP</t>
  </si>
  <si>
    <t>US0079031078</t>
  </si>
  <si>
    <t>Advanced Micro Devices (AMD)</t>
  </si>
  <si>
    <t>https://www.moex.com/ru/marketdata/#/mode=instrument&amp;secid=AMD-RM&amp;boardgroupid=1258&amp;mode_type=history&amp;date_from=2025-04-28</t>
  </si>
  <si>
    <t>https://ru.investing.com/equities/adv-micro-device-historical-data</t>
  </si>
  <si>
    <t>AMD</t>
  </si>
  <si>
    <t>US0010551028</t>
  </si>
  <si>
    <t>AFLAC Ord Shs</t>
  </si>
  <si>
    <t>https://www.moex.com/ru/marketdata/#/mode=instrument&amp;secid=AFL-RM&amp;boardgroupid=1258&amp;mode_type=history&amp;date_from=2025-07-28</t>
  </si>
  <si>
    <t>https://ru.investing.com/equities/aflac-inc-historical-data</t>
  </si>
  <si>
    <t>AFL</t>
  </si>
  <si>
    <t>Страхование и перестрахование</t>
  </si>
  <si>
    <t>US00846U1016</t>
  </si>
  <si>
    <t>Agilent TechnologiesORD SHS</t>
  </si>
  <si>
    <t>https://www.moex.com/ru/marketdata/#/mode=instrument&amp;secid=A-RM&amp;boardgroupid=1258&amp;mode_type=history&amp;date_from=2025-07-28</t>
  </si>
  <si>
    <t>https://ru.investing.com/equities/agilent-tech-historical-data</t>
  </si>
  <si>
    <t>A</t>
  </si>
  <si>
    <t>US0091581068</t>
  </si>
  <si>
    <t>Air Products&amp;Chemicals Inc Ord</t>
  </si>
  <si>
    <t>https://www.moex.com/ru/marketdata/#/mode=instrument&amp;secid=APD-RM&amp;boardgroupid=1258&amp;mode_type=history&amp;date_from=2025-07-28</t>
  </si>
  <si>
    <t>https://ru.investing.com/equities/air-prods---chem-historical-data</t>
  </si>
  <si>
    <t>APD</t>
  </si>
  <si>
    <t>Химическая и нефтехимическая промышленность</t>
  </si>
  <si>
    <t>US0090661010</t>
  </si>
  <si>
    <t>Airbnb, Inc. ORD SHS CL A</t>
  </si>
  <si>
    <t>https://www.moex.com/ru/marketdata/#/mode=instrument&amp;secid=ABNB-RM&amp;boardgroupid=1258&amp;mode_type=history&amp;date_from=2025-07-28</t>
  </si>
  <si>
    <t>https://ru.investing.com/equities/airbnb-inc-historical-data</t>
  </si>
  <si>
    <t>ABNB</t>
  </si>
  <si>
    <t>Гостиницы и временное проживание</t>
  </si>
  <si>
    <t>US00971T1016</t>
  </si>
  <si>
    <t>Akamai TechnologiesORD SHS</t>
  </si>
  <si>
    <t>https://www.moex.com/ru/marketdata/#/mode=instrument&amp;secid=AKAM-RM&amp;boardgroupid=1258&amp;mode_type=history&amp;date_from=2025-07-28</t>
  </si>
  <si>
    <t>https://ru.investing.com/equities/akamai-technologies-inc-historical-data</t>
  </si>
  <si>
    <t>AKAM</t>
  </si>
  <si>
    <t>Телекоммуникационное оборудование</t>
  </si>
  <si>
    <t>US0116591092</t>
  </si>
  <si>
    <t>ALASKA AIR GROUP INC ORD SHS</t>
  </si>
  <si>
    <t>https://www.moex.com/ru/marketdata/#/mode=instrument&amp;secid=ALK-RM&amp;boardgroupid=1258&amp;mode_type=history&amp;date_from=2025-07-28</t>
  </si>
  <si>
    <t>https://ru.investing.com/equities/alaska-air-historical-data</t>
  </si>
  <si>
    <t>ALK</t>
  </si>
  <si>
    <t>Воздушный транспорт</t>
  </si>
  <si>
    <t>US0126531013</t>
  </si>
  <si>
    <t>Albemarle Ord Shs</t>
  </si>
  <si>
    <t>https://www.moex.com/ru/marketdata/#/mode=instrument&amp;secid=ALB-RM&amp;boardgroupid=1258&amp;mode_type=history&amp;date_from=2025-07-28</t>
  </si>
  <si>
    <t>https://ru.investing.com/equities/albemarle-historical-data</t>
  </si>
  <si>
    <t>ALB</t>
  </si>
  <si>
    <t>US0138721065</t>
  </si>
  <si>
    <t>Alcoa</t>
  </si>
  <si>
    <t>https://www.moex.com/ru/marketdata/#/mode=instrument&amp;secid=AA-RM&amp;boardgroupid=1258&amp;mode_type=history&amp;date_from=2025-04-28</t>
  </si>
  <si>
    <t>https://ru.investing.com/equities/alcoa-historical-data</t>
  </si>
  <si>
    <t>AA</t>
  </si>
  <si>
    <t>металлургическая компания, алюминий</t>
  </si>
  <si>
    <t>US0162551016</t>
  </si>
  <si>
    <t>Align Technology, Inc. ORD SHS</t>
  </si>
  <si>
    <t>https://www.moex.com/ru/marketdata/#/mode=instrument&amp;secid=ALGN-RM&amp;boardgroupid=1258&amp;mode_type=history&amp;date_from=2025-07-28</t>
  </si>
  <si>
    <t>https://ru.investing.com/equities/align-technology-historical-data</t>
  </si>
  <si>
    <t>ALGN</t>
  </si>
  <si>
    <t>US0188021085</t>
  </si>
  <si>
    <t>Alliant Energy Corp ORD SHS</t>
  </si>
  <si>
    <t>https://www.moex.com/ru/marketdata/#/mode=instrument&amp;secid=LNT-RM&amp;boardgroupid=1258&amp;mode_type=history&amp;date_from=2025-07-28</t>
  </si>
  <si>
    <t>https://ru.investing.com/equities/alliant-energy-historical-data</t>
  </si>
  <si>
    <t>LNT</t>
  </si>
  <si>
    <t>Электроэнергетика</t>
  </si>
  <si>
    <t>DE0008404005</t>
  </si>
  <si>
    <t>ALLIANZ</t>
  </si>
  <si>
    <t>ALVG</t>
  </si>
  <si>
    <t>Страхование, финансы</t>
  </si>
  <si>
    <t>US0200021014</t>
  </si>
  <si>
    <t>ALLSTATE CORP / THE ORDSHS</t>
  </si>
  <si>
    <t>https://www.moex.com/ru/marketdata/#/mode=instrument&amp;secid=ALL-RM&amp;boardgroupid=1258&amp;mode_type=history&amp;date_from=2025-07-28</t>
  </si>
  <si>
    <t>https://ru.investing.com/equities/allstate-corporation-historical-data</t>
  </si>
  <si>
    <t>ALL</t>
  </si>
  <si>
    <t>US02005N1000</t>
  </si>
  <si>
    <t>Ally Financial Inc. ORD SHS</t>
  </si>
  <si>
    <t>https://www.moex.com/ru/marketdata/#/mode=instrument&amp;secid=ALLY-RM&amp;boardgroupid=1258&amp;mode_type=history&amp;date_from=2025-07-28</t>
  </si>
  <si>
    <t>https://ru.investing.com/equities/ally-financ-historical-data</t>
  </si>
  <si>
    <t>ALLY</t>
  </si>
  <si>
    <t>Банки</t>
  </si>
  <si>
    <t>US02079K3059</t>
  </si>
  <si>
    <t>Alphabet class A</t>
  </si>
  <si>
    <t>https://www.moex.com/ru/marketdata/#/mode=instrument&amp;secid=GOOGL-RM&amp;boardgroupid=1258&amp;mode_type=history&amp;date_from=2025-11-28</t>
  </si>
  <si>
    <t>https://ru.investing.com/equities/google-inc-historical-data</t>
  </si>
  <si>
    <t>GOOGL</t>
  </si>
  <si>
    <t>US02079K1079</t>
  </si>
  <si>
    <t>Alphabet class C (Google)</t>
  </si>
  <si>
    <t>https://www.moex.com/ru/marketdata/#/mode=instrument&amp;secid=GOOG-RM&amp;boardgroupid=1258&amp;mode_type=history&amp;date_from=2025-04-28</t>
  </si>
  <si>
    <t>https://ru.investing.com/equities/google-inc-c-historical-data</t>
  </si>
  <si>
    <t>US02156B1035</t>
  </si>
  <si>
    <t>Alteryx, Inc.</t>
  </si>
  <si>
    <t>https://www.moex.com/ru/marketdata/#/mode=instrument&amp;secid=AYX-RM&amp;boardgroupid=1258&amp;mode_type=history&amp;date_from=2025-07-28</t>
  </si>
  <si>
    <t>https://ru.investing.com/equities/alteryx-inc-historical-data</t>
  </si>
  <si>
    <t>AYX</t>
  </si>
  <si>
    <t>US02156K1034</t>
  </si>
  <si>
    <t>Altice USA, Inc. ORD SHS CL A</t>
  </si>
  <si>
    <t>https://www.moex.com/ru/marketdata/#/mode=instrument&amp;secid=ATUS-RM&amp;boardgroupid=1258&amp;mode_type=history&amp;date_from=2025-07-28</t>
  </si>
  <si>
    <t>https://ru.investing.com/equities/altice-usa-inc-historical-data</t>
  </si>
  <si>
    <t>ATUS</t>
  </si>
  <si>
    <t>US02209S1033</t>
  </si>
  <si>
    <t>Altria</t>
  </si>
  <si>
    <t>MO</t>
  </si>
  <si>
    <t>Табачная промышленность</t>
  </si>
  <si>
    <t>US02553E1064</t>
  </si>
  <si>
    <t>Am Eagle Outfitter Inc ORD SHS</t>
  </si>
  <si>
    <t>https://www.moex.com/ru/marketdata/#/mode=instrument&amp;secid=AEO-RM&amp;boardgroupid=1258&amp;mode_type=history&amp;date_from=2025-07-28</t>
  </si>
  <si>
    <t>https://ru.investing.com/equities/american-eagle-outfitters-historical-data</t>
  </si>
  <si>
    <t>AEO</t>
  </si>
  <si>
    <t>US0231351067</t>
  </si>
  <si>
    <t xml:space="preserve">Amazon.com, Inc. </t>
  </si>
  <si>
    <t>https://www.moex.com/ru/marketdata/#/mode=instrument&amp;secid=AMZN-RM&amp;boardgroupid=1258&amp;mode_type=history&amp;date_from=2025-04-28</t>
  </si>
  <si>
    <t>https://ru.investing.com/equities/amazon-com-inc-historical-data</t>
  </si>
  <si>
    <t>AMZN</t>
  </si>
  <si>
    <t>интернет, розничная торговля</t>
  </si>
  <si>
    <t>US00165C3025</t>
  </si>
  <si>
    <t>AMC Entertainment Holdings</t>
  </si>
  <si>
    <t>https://www.moex.com/ru/marketdata/#/mode=instrument&amp;secid=AMC-RM&amp;boardgroupid=1258&amp;mode_type=history&amp;date_from=2025-07-28</t>
  </si>
  <si>
    <t>https://ru.investing.com/equities/amc-entertat-hld-historical-data</t>
  </si>
  <si>
    <t>AMC</t>
  </si>
  <si>
    <t>US0236081024</t>
  </si>
  <si>
    <t>Ameren Corporation ORD SHS</t>
  </si>
  <si>
    <t>https://www.moex.com/ru/marketdata/#/mode=instrument&amp;secid=AEE-RM&amp;boardgroupid=1258&amp;mode_type=history&amp;date_from=2025-07-28</t>
  </si>
  <si>
    <t>https://ru.investing.com/equities/ameren-corp-historical-data</t>
  </si>
  <si>
    <t>AEE</t>
  </si>
  <si>
    <t>US02376R1023</t>
  </si>
  <si>
    <t>American Airlines</t>
  </si>
  <si>
    <t>https://www.moex.com/ru/marketdata/#/mode=instrument&amp;secid=AAL-RM&amp;boardgroupid=1258&amp;mode_type=history&amp;date_from=2025-04-28</t>
  </si>
  <si>
    <t>https://ru.investing.com/equities/american-airlines-group-historical-data</t>
  </si>
  <si>
    <t>AAL</t>
  </si>
  <si>
    <t>Авиакомпания</t>
  </si>
  <si>
    <t>US0255371017</t>
  </si>
  <si>
    <t>American Electr. Power ORD SHS</t>
  </si>
  <si>
    <t>https://www.moex.com/ru/marketdata/#/mode=instrument&amp;secid=AEP-RM&amp;boardgroupid=1258&amp;mode_type=history&amp;date_from=2025-07-28</t>
  </si>
  <si>
    <t>https://ru.investing.com/equities/american-electric-historical-data</t>
  </si>
  <si>
    <t>AEP</t>
  </si>
  <si>
    <t>US0258161092</t>
  </si>
  <si>
    <t>American Express Company</t>
  </si>
  <si>
    <t>https://www.moex.com/ru/marketdata/#/mode=instrument&amp;secid=AXP-RM&amp;boardgroupid=1258&amp;mode_type=history&amp;date_from=2025-07-28</t>
  </si>
  <si>
    <t>https://ru.investing.com/equities/american-express-historical-data</t>
  </si>
  <si>
    <t>AXP</t>
  </si>
  <si>
    <t>Финансовые рынки</t>
  </si>
  <si>
    <t>US0268747849</t>
  </si>
  <si>
    <t>American International ORD SHS</t>
  </si>
  <si>
    <t>https://www.moex.com/ru/marketdata/#/mode=instrument&amp;secid=AIG-RM&amp;boardgroupid=1258&amp;mode_type=history&amp;date_from=2025-07-28</t>
  </si>
  <si>
    <t>https://ru.investing.com/equities/american-intl-group-historical-data</t>
  </si>
  <si>
    <t>AIG</t>
  </si>
  <si>
    <t>US03027X1000</t>
  </si>
  <si>
    <t>American Tower</t>
  </si>
  <si>
    <t>AMT</t>
  </si>
  <si>
    <t>оператор инфраструктуры беспроводной связи</t>
  </si>
  <si>
    <t>US0304201033</t>
  </si>
  <si>
    <t>American Water Works Co ORDSHS</t>
  </si>
  <si>
    <t>https://www.moex.com/ru/marketdata/#/mode=instrument&amp;secid=AWK-RM&amp;boardgroupid=1258&amp;mode_type=history&amp;date_from=2025-07-28</t>
  </si>
  <si>
    <t>https://ru.investing.com/equities/american-water-works-inc-historical-data</t>
  </si>
  <si>
    <t>AWK</t>
  </si>
  <si>
    <t>Снабжение водой, теплом, газом</t>
  </si>
  <si>
    <t>US03076C1062</t>
  </si>
  <si>
    <t>Ameriprise Financial Inc ORDSH</t>
  </si>
  <si>
    <t>https://www.moex.com/ru/marketdata/#/mode=instrument&amp;secid=AMP-RM&amp;boardgroupid=1258&amp;mode_type=history&amp;date_from=2025-07-28</t>
  </si>
  <si>
    <t>https://ru.investing.com/equities/ameriprise-fincl-historical-data</t>
  </si>
  <si>
    <t>AMP</t>
  </si>
  <si>
    <t>US0311001004</t>
  </si>
  <si>
    <t>AMETEK, INC. ORDSHS</t>
  </si>
  <si>
    <t>https://www.moex.com/ru/marketdata/#/mode=instrument&amp;secid=AME-RM&amp;boardgroupid=1258&amp;mode_type=history&amp;date_from=2025-07-28</t>
  </si>
  <si>
    <t>https://ru.investing.com/equities/ametek-inc-historical-data</t>
  </si>
  <si>
    <t>AME</t>
  </si>
  <si>
    <t>US0311621009</t>
  </si>
  <si>
    <t>Amgen</t>
  </si>
  <si>
    <t>https://www.moex.com/ru/marketdata/#/mode=instrument&amp;secid=AMGN-RM&amp;boardgroupid=1258&amp;mode_type=history&amp;date_from=2025-04-28</t>
  </si>
  <si>
    <t>https://ru.investing.com/equities/amgen-inc-historical-data</t>
  </si>
  <si>
    <t>AMGN</t>
  </si>
  <si>
    <t>Фармацевтическая промышленность</t>
  </si>
  <si>
    <t>US03152W1099</t>
  </si>
  <si>
    <t>Amicus Therapeutics ORD SHS</t>
  </si>
  <si>
    <t>https://www.moex.com/ru/marketdata/#/mode=instrument&amp;secid=FOLD-RM&amp;boardgroupid=1258&amp;mode_type=history&amp;date_from=2025-07-28</t>
  </si>
  <si>
    <t>https://ru.investing.com/equities/amicus-therapeutics-historical-data</t>
  </si>
  <si>
    <t>FOLD</t>
  </si>
  <si>
    <t>US0320951017</t>
  </si>
  <si>
    <t>Amphenol Corporation</t>
  </si>
  <si>
    <t>https://www.moex.com/ru/marketdata/#/mode=instrument&amp;secid=APH-RM&amp;boardgroupid=1258&amp;mode_type=history&amp;date_from=2025-07-28</t>
  </si>
  <si>
    <t>https://ru.investing.com/equities/amphenol-corp-historical-data</t>
  </si>
  <si>
    <t>APH</t>
  </si>
  <si>
    <t>US0326541051</t>
  </si>
  <si>
    <t>Analog Devices</t>
  </si>
  <si>
    <t>https://www.moex.com/ru/marketdata/#/mode=instrument&amp;secid=ADI-RM&amp;boardgroupid=1258&amp;mode_type=history&amp;date_from=2025-04-28</t>
  </si>
  <si>
    <t>https://ru.investing.com/equities/analog-devices-historical-data</t>
  </si>
  <si>
    <t>ADL</t>
  </si>
  <si>
    <t>Электронная компания, производство микроэлектроники</t>
  </si>
  <si>
    <t>US03272L1089</t>
  </si>
  <si>
    <t>Anaplan, Inc. ORD SHS</t>
  </si>
  <si>
    <t>https://www.moex.com/ru/marketdata/#/mode=instrument&amp;secid=PLAN-RM&amp;boardgroupid=1258&amp;mode_type=history&amp;date_from=2025-07-28</t>
  </si>
  <si>
    <t>https://ru.investing.com/equities/anaplan-historical-data</t>
  </si>
  <si>
    <t>PLAN</t>
  </si>
  <si>
    <t>US00183L1026</t>
  </si>
  <si>
    <t>ANGI ORD SHS CL A</t>
  </si>
  <si>
    <t>https://www.moex.com/ru/marketdata/#/mode=instrument&amp;secid=ANGI-RM&amp;boardgroupid=1258&amp;mode_type=history&amp;date_from=2025-07-28</t>
  </si>
  <si>
    <t>https://ru.investing.com/equities/angies-list-inc-historical-data?cid=1185079</t>
  </si>
  <si>
    <t>ANGI</t>
  </si>
  <si>
    <t>Профессиональные услуги</t>
  </si>
  <si>
    <t>US03662Q1058</t>
  </si>
  <si>
    <t>Ansys Ord Shs</t>
  </si>
  <si>
    <t>https://www.moex.com/ru/marketdata/#/mode=instrument&amp;secid=ANSS-RM&amp;boardgroupid=1258&amp;mode_type=history&amp;date_from=2025-07-28</t>
  </si>
  <si>
    <t>https://ru.investing.com/equities/ansys-historical-data</t>
  </si>
  <si>
    <t>ANSS</t>
  </si>
  <si>
    <t>US03743Q1085</t>
  </si>
  <si>
    <t>APA Corporation</t>
  </si>
  <si>
    <t>https://www.moex.com/ru/marketdata/#/mode=instrument&amp;secid=APA-RM&amp;boardgroupid=1258&amp;mode_type=history&amp;date_from=2025-07-28</t>
  </si>
  <si>
    <t>https://ru.investing.com/equities/apache-corp-historical-data</t>
  </si>
  <si>
    <t>APA</t>
  </si>
  <si>
    <t>Нефтегазовая отрасль</t>
  </si>
  <si>
    <t>US03783T1034</t>
  </si>
  <si>
    <t>AppHarvest, Inc. ORD SHS</t>
  </si>
  <si>
    <t>https://www.moex.com/ru/marketdata/#/mode=instrument&amp;secid=APPH-RM&amp;boardgroupid=1258&amp;mode_type=history&amp;date_from=2025-07-28</t>
  </si>
  <si>
    <t>https://ru.investing.com/equities/novus-capital-corp-historical-data</t>
  </si>
  <si>
    <t>APPH</t>
  </si>
  <si>
    <t>АПК и сельское хозяйство</t>
  </si>
  <si>
    <t>US0378331005</t>
  </si>
  <si>
    <t>Apple. Inc.</t>
  </si>
  <si>
    <t>https://www.moex.com/ru/marketdata/#/mode=instrument&amp;secid=AAPL-RM&amp;boardgroupid=1258&amp;mode_type=history&amp;date_from=2025-04-28</t>
  </si>
  <si>
    <t>https://ru.investing.com/equities/apple-computer-inc-historical-data</t>
  </si>
  <si>
    <t>AAPL</t>
  </si>
  <si>
    <t>Микроэлектронная промышленность</t>
  </si>
  <si>
    <t>US0382221051</t>
  </si>
  <si>
    <t>Applied Materials, Inc.</t>
  </si>
  <si>
    <t>AMAT</t>
  </si>
  <si>
    <t>US03831W1080</t>
  </si>
  <si>
    <t>AppLovin Corp ORD SHS CL A</t>
  </si>
  <si>
    <t>https://www.moex.com/ru/marketdata/#/mode=instrument&amp;secid=APP-RM&amp;boardgroupid=1258&amp;mode_type=history&amp;date_from=2025-07-28</t>
  </si>
  <si>
    <t>https://ru.investing.com/equities/applovin-historical-data</t>
  </si>
  <si>
    <t>APP</t>
  </si>
  <si>
    <t>US03852U1060</t>
  </si>
  <si>
    <t>Aramark ORD SHS</t>
  </si>
  <si>
    <t>https://www.moex.com/ru/marketdata/#/mode=instrument&amp;secid=ARMK-RM&amp;boardgroupid=1258&amp;mode_type=history&amp;date_from=2025-07-28</t>
  </si>
  <si>
    <t>https://ru.investing.com/equities/aramark-holdings-historical-data</t>
  </si>
  <si>
    <t>ARMK</t>
  </si>
  <si>
    <t>Общественное питание</t>
  </si>
  <si>
    <t>US0394831020</t>
  </si>
  <si>
    <t>Archer Daniels Midland Ord Shs (ADM)</t>
  </si>
  <si>
    <t>https://www.moex.com/ru/marketdata/#/mode=instrument&amp;secid=ADM-RM&amp;boardgroupid=1258&amp;mode_type=history&amp;date_from=2025-07-28</t>
  </si>
  <si>
    <t>https://ru.investing.com/equities/archer-daniels-mid-historical-data</t>
  </si>
  <si>
    <t>ADM</t>
  </si>
  <si>
    <t>Производство продуктов и напитков</t>
  </si>
  <si>
    <t>US03969T1097</t>
  </si>
  <si>
    <t>Arcturus</t>
  </si>
  <si>
    <t>ARCT</t>
  </si>
  <si>
    <t>US04010L1035</t>
  </si>
  <si>
    <t>ARES CAPORD SHS</t>
  </si>
  <si>
    <t>https://www.moex.com/ru/marketdata/#/mode=instrument&amp;secid=ARCC-RM&amp;boardgroupid=1258&amp;mode_type=history&amp;date_from=2025-07-28</t>
  </si>
  <si>
    <t>https://ru.investing.com/equities/ares-capital-historical-data</t>
  </si>
  <si>
    <t>ARCC</t>
  </si>
  <si>
    <t>US0404131064</t>
  </si>
  <si>
    <t>Arista Networks, Inc. ORD SHS</t>
  </si>
  <si>
    <t>https://www.moex.com/ru/marketdata/#/mode=instrument&amp;secid=ANET-RM&amp;boardgroupid=1258&amp;mode_type=history&amp;date_from=2025-07-28</t>
  </si>
  <si>
    <t>https://ru.investing.com/equities/arista-networks-historical-data</t>
  </si>
  <si>
    <t>ANET</t>
  </si>
  <si>
    <t>US3635761097</t>
  </si>
  <si>
    <t>Arthur J Gallagher ORD SHS</t>
  </si>
  <si>
    <t>https://www.moex.com/ru/marketdata/#/mode=instrument&amp;secid=AJG-RM&amp;boardgroupid=1258&amp;mode_type=history&amp;date_from=2025-07-28</t>
  </si>
  <si>
    <t>https://ru.investing.com/equities/arthur-j.-gallagher---co-historical-data</t>
  </si>
  <si>
    <t>AJG</t>
  </si>
  <si>
    <t>US04621X1081</t>
  </si>
  <si>
    <t>Assurant Ord Shs</t>
  </si>
  <si>
    <t>https://www.moex.com/ru/marketdata/#/mode=instrument&amp;secid=AIZ-RM&amp;boardgroupid=1258&amp;mode_type=history&amp;date_from=2025-07-28</t>
  </si>
  <si>
    <t>https://ru.investing.com/equities/assurant-historical-data</t>
  </si>
  <si>
    <t>AIZ</t>
  </si>
  <si>
    <t>US04634X1037</t>
  </si>
  <si>
    <t>Astra Space</t>
  </si>
  <si>
    <t>ASTR</t>
  </si>
  <si>
    <t>Космическая компания</t>
  </si>
  <si>
    <t>US00206R1023</t>
  </si>
  <si>
    <t>AT&amp;T</t>
  </si>
  <si>
    <t>https://www.moex.com/ru/marketdata/#/mode=instrument&amp;secid=AT-RM&amp;boardgroupid=1258&amp;mode_type=history&amp;date_from=2025-04-28</t>
  </si>
  <si>
    <t>https://ru.investing.com/equities/at-t-historical-data</t>
  </si>
  <si>
    <t>Телекоммуникационная компания</t>
  </si>
  <si>
    <t>US0495601058</t>
  </si>
  <si>
    <t>Atmos Energy Ord Shs</t>
  </si>
  <si>
    <t>https://www.moex.com/ru/marketdata/#/mode=instrument&amp;secid=ATO-RM&amp;boardgroupid=1258&amp;mode_type=history&amp;date_from=2025-07-28</t>
  </si>
  <si>
    <t>https://ru.investing.com/equities/atmos-energy-corp-historical-data</t>
  </si>
  <si>
    <t>ATO</t>
  </si>
  <si>
    <t>US0527691069</t>
  </si>
  <si>
    <t>AUTODESK INC ORD SHS</t>
  </si>
  <si>
    <t>https://www.moex.com/ru/marketdata/#/mode=instrument&amp;secid=ADSK-RM&amp;boardgroupid=1258&amp;mode_type=history&amp;date_from=2025-07-28</t>
  </si>
  <si>
    <t>https://ru.investing.com/equities/autodesk-inc-historical-data</t>
  </si>
  <si>
    <t>ADSK</t>
  </si>
  <si>
    <t>US0530151036</t>
  </si>
  <si>
    <t>Automatic Data Processing Ord (ADP)</t>
  </si>
  <si>
    <t>https://www.moex.com/ru/marketdata/#/mode=instrument&amp;secid=ADP-RM&amp;boardgroupid=1258&amp;mode_type=history&amp;date_from=2025-07-28</t>
  </si>
  <si>
    <t>https://ru.investing.com/equities/auto-data-process-historical-data</t>
  </si>
  <si>
    <t>ADP</t>
  </si>
  <si>
    <t>US0533321024</t>
  </si>
  <si>
    <t>AUTOZONE, INC. ORDSHS</t>
  </si>
  <si>
    <t>https://www.moex.com/ru/marketdata/#/mode=instrument&amp;secid=AZO-RM&amp;boardgroupid=1258&amp;mode_type=history&amp;date_from=2025-07-28</t>
  </si>
  <si>
    <t>https://ru.investing.com/equities/autozone-inc-historical-data</t>
  </si>
  <si>
    <t>AZO</t>
  </si>
  <si>
    <t>US05352A1007</t>
  </si>
  <si>
    <t>Avantor, Inc. ORD SHS</t>
  </si>
  <si>
    <t>https://www.moex.com/ru/marketdata/#/mode=instrument&amp;secid=AVTR-RM&amp;boardgroupid=1258&amp;mode_type=history&amp;date_from=2025-07-28</t>
  </si>
  <si>
    <t>https://ru.investing.com/equities/avantor-inc-historical-data</t>
  </si>
  <si>
    <t>AVTR</t>
  </si>
  <si>
    <t>US0536111091</t>
  </si>
  <si>
    <t>Avery Dennison Corp ORD SHS</t>
  </si>
  <si>
    <t>https://www.moex.com/ru/marketdata/#/mode=instrument&amp;secid=AVY-RM&amp;boardgroupid=1258&amp;mode_type=history&amp;date_from=2025-07-28</t>
  </si>
  <si>
    <t>https://ru.investing.com/equities/avery-dennison-historical-data</t>
  </si>
  <si>
    <t>AVY</t>
  </si>
  <si>
    <t>Целлюлозно-бумажная и деревообрабатывающая</t>
  </si>
  <si>
    <t>US05464T1043</t>
  </si>
  <si>
    <t>Axsome</t>
  </si>
  <si>
    <t>AXSM</t>
  </si>
  <si>
    <t>US05508R1068</t>
  </si>
  <si>
    <t>B&amp;G Foods, Inc. ORD SHS</t>
  </si>
  <si>
    <t>https://www.moex.com/ru/marketdata/#/mode=instrument&amp;secid=BGS-RM&amp;boardgroupid=1258&amp;mode_type=history&amp;date_from=2025-07-28</t>
  </si>
  <si>
    <t>https://ru.investing.com/equities/b-g-foods-holdings-corp-historical-data</t>
  </si>
  <si>
    <t>BGS</t>
  </si>
  <si>
    <t>US05722G1004</t>
  </si>
  <si>
    <t>Baker Hughes A Ge CO Cl A</t>
  </si>
  <si>
    <t>https://www.moex.com/ru/marketdata/#/mode=instrument&amp;secid=BKR-RM&amp;boardgroupid=1258&amp;mode_type=history&amp;date_from=2025-07-28</t>
  </si>
  <si>
    <t>https://ru.investing.com/equities/baker-hughes-historical-data</t>
  </si>
  <si>
    <t>BKR</t>
  </si>
  <si>
    <t>Оборудование и услуги для добычи нефти и газа</t>
  </si>
  <si>
    <t>US0584981064</t>
  </si>
  <si>
    <t>Ball Corporation ORD SHS</t>
  </si>
  <si>
    <t>https://www.moex.com/ru/marketdata/#/mode=instrument&amp;secid=BALL-RM&amp;boardgroupid=1258&amp;mode_type=history&amp;date_from=2025-07-28</t>
  </si>
  <si>
    <t>https://ru.investing.com/equities/ball-corp-historical-data</t>
  </si>
  <si>
    <t>BALL</t>
  </si>
  <si>
    <t>Тара и упаковка</t>
  </si>
  <si>
    <t>US0605051046</t>
  </si>
  <si>
    <t>Bank of America</t>
  </si>
  <si>
    <t>https://www.moex.com/ru/marketdata/#/mode=instrument&amp;secid=BAC-RM&amp;boardgroupid=1258&amp;mode_type=history&amp;date_from=2025-04-28</t>
  </si>
  <si>
    <t>https://ru.investing.com/equities/bank-of-america-historical-data</t>
  </si>
  <si>
    <t>BAC</t>
  </si>
  <si>
    <t>Финансы</t>
  </si>
  <si>
    <t>US06684L1035</t>
  </si>
  <si>
    <t>Baozun</t>
  </si>
  <si>
    <t>BZUN</t>
  </si>
  <si>
    <t>Электронная коммерция</t>
  </si>
  <si>
    <t>Китай</t>
  </si>
  <si>
    <t>CA0679011084</t>
  </si>
  <si>
    <t>Barrick Gold</t>
  </si>
  <si>
    <t>GOLD</t>
  </si>
  <si>
    <t>Горнодобывающая компания, добыча золота</t>
  </si>
  <si>
    <t>Канада</t>
  </si>
  <si>
    <t>DE000BASF111</t>
  </si>
  <si>
    <t>BASF</t>
  </si>
  <si>
    <t>BAS</t>
  </si>
  <si>
    <t>Химическая промышленность</t>
  </si>
  <si>
    <t>US0708301041</t>
  </si>
  <si>
    <t>Bath &amp; Body Works, Inc ORD SHS</t>
  </si>
  <si>
    <t>https://www.moex.com/ru/marketdata/#/mode=instrument&amp;secid=BBWI-RM&amp;boardgroupid=1258&amp;mode_type=history&amp;date_from=2025-07-28</t>
  </si>
  <si>
    <t>https://ru.investing.com/equities/limited-brands-historical-data</t>
  </si>
  <si>
    <t>BBWI</t>
  </si>
  <si>
    <t>US0718131099</t>
  </si>
  <si>
    <t>Baxter International ORD SHS</t>
  </si>
  <si>
    <t>https://www.moex.com/ru/marketdata/#/mode=instrument&amp;secid=BAX-RM&amp;boardgroupid=1258&amp;mode_type=history&amp;date_from=2025-07-28</t>
  </si>
  <si>
    <t>https://ru.investing.com/equities/baxter-intl-historical-data</t>
  </si>
  <si>
    <t>BAX</t>
  </si>
  <si>
    <t>DE000BAY0017</t>
  </si>
  <si>
    <t>Bayer AG</t>
  </si>
  <si>
    <t>BAYN</t>
  </si>
  <si>
    <t>US0758871091</t>
  </si>
  <si>
    <t>Becton Dickinson Ord Shs</t>
  </si>
  <si>
    <t>https://www.moex.com/ru/marketdata/#/mode=instrument&amp;secid=BDX-RM&amp;boardgroupid=1258&amp;mode_type=history&amp;date_from=2025-07-28</t>
  </si>
  <si>
    <t>https://ru.investing.com/equities/becton-dickinsn-historical-data</t>
  </si>
  <si>
    <t>BDX</t>
  </si>
  <si>
    <t>US0758961009</t>
  </si>
  <si>
    <t>Bed Bath &amp; Beyond Inc. ORD SHS</t>
  </si>
  <si>
    <t>https://www.moex.com/ru/marketdata/#/mode=instrument&amp;secid=BBBY-RM&amp;boardgroupid=1258&amp;mode_type=history&amp;date_from=2025-07-28</t>
  </si>
  <si>
    <t>https://ru.investing.com/equities/bed-bath---beyond-inc-historical-data</t>
  </si>
  <si>
    <t>BBBY</t>
  </si>
  <si>
    <t>US0846707026</t>
  </si>
  <si>
    <t>Berkshire Hathaway</t>
  </si>
  <si>
    <t>https://www.moex.com/ru/marketdata/#/mode=instrument&amp;secid=BRKB-RM&amp;boardgroupid=1258&amp;mode_type=history&amp;date_from=2025-04-28</t>
  </si>
  <si>
    <t>https://ru.investing.com/equities/berkshire-hathaway-historical-data</t>
  </si>
  <si>
    <t>холдинговая компания</t>
  </si>
  <si>
    <t>US0865161014</t>
  </si>
  <si>
    <t>Best Buy Co., Inc. ORD SHS</t>
  </si>
  <si>
    <t>https://www.moex.com/ru/marketdata/#/mode=instrument&amp;secid=BBY-RM&amp;boardgroupid=1258&amp;mode_type=history&amp;date_from=2025-07-28</t>
  </si>
  <si>
    <t>https://ru.investing.com/equities/best-buy-historical-data</t>
  </si>
  <si>
    <t>BBY</t>
  </si>
  <si>
    <t>US08862E1091</t>
  </si>
  <si>
    <t>Beyond Meat Ord Shs</t>
  </si>
  <si>
    <t>https://www.moex.com/ru/marketdata/#/mode=instrument&amp;secid=BYND-RM&amp;boardgroupid=1258&amp;mode_type=history&amp;date_from=2025-07-28</t>
  </si>
  <si>
    <t>https://ru.investing.com/equities/beyond-meat-inc-historical-data</t>
  </si>
  <si>
    <t>BYND</t>
  </si>
  <si>
    <t>US0893021032</t>
  </si>
  <si>
    <t>Big Lots</t>
  </si>
  <si>
    <t>BIG</t>
  </si>
  <si>
    <t>Ретейлер фурнитуры и домашнего декора</t>
  </si>
  <si>
    <t>US0900431000</t>
  </si>
  <si>
    <t>BILL Holdings, Inc ORD SH</t>
  </si>
  <si>
    <t>https://www.moex.com/ru/marketdata/#/mode=instrument&amp;secid=BILL-RM&amp;boardgroupid=1258&amp;mode_type=history&amp;date_from=2025-07-28</t>
  </si>
  <si>
    <t>https://ru.investing.com/equities/bill-com-holdings-inc-historical-data</t>
  </si>
  <si>
    <t>BILL</t>
  </si>
  <si>
    <t>Другие отрасли</t>
  </si>
  <si>
    <t>US09062X1037</t>
  </si>
  <si>
    <t>Biogen</t>
  </si>
  <si>
    <t>https://www.moex.com/ru/marketdata/#/mode=instrument&amp;secid=BIIB-RM&amp;boardgroupid=1258&amp;mode_type=history&amp;date_from=2025-04-28</t>
  </si>
  <si>
    <t>https://ru.investing.com/equities/biogen-idec-inc-historical-data</t>
  </si>
  <si>
    <t>BIIB</t>
  </si>
  <si>
    <t>US09061G1013</t>
  </si>
  <si>
    <t>BioMarin</t>
  </si>
  <si>
    <t>BMRN</t>
  </si>
  <si>
    <t>US09075F3055</t>
  </si>
  <si>
    <t>Bionano Genomics, Inc. ORD SHS</t>
  </si>
  <si>
    <t>https://www.moex.com/ru/marketdata/#/mode=instrument&amp;secid=BNGO-RM&amp;boardgroupid=1258&amp;mode_type=history&amp;date_from=2025-07-28</t>
  </si>
  <si>
    <t>https://ru.investing.com/equities/bionano-genomics-historical-data?cid=1205755</t>
  </si>
  <si>
    <t>BNGO</t>
  </si>
  <si>
    <t>US0905722072</t>
  </si>
  <si>
    <t>Bio-Rad Laborat ORD SHS CL A</t>
  </si>
  <si>
    <t>https://www.moex.com/ru/marketdata/#/mode=instrument&amp;secid=BIO-RM&amp;boardgroupid=1258&amp;mode_type=history&amp;date_from=2025-07-28</t>
  </si>
  <si>
    <t>https://ru.investing.com/equities/bio-rad-laboratories-inc-historical-data</t>
  </si>
  <si>
    <t>BIO</t>
  </si>
  <si>
    <t>US09075P1057</t>
  </si>
  <si>
    <t xml:space="preserve">BioXcel </t>
  </si>
  <si>
    <t>BTAI</t>
  </si>
  <si>
    <t>US05550J1016</t>
  </si>
  <si>
    <t>BJs Wholesale Club Hld ORD SHS</t>
  </si>
  <si>
    <t>https://www.moex.com/ru/marketdata/#/mode=instrument&amp;secid=BJ-RM&amp;boardgroupid=1258&amp;mode_type=history&amp;date_from=2025-07-28</t>
  </si>
  <si>
    <t>https://ru.investing.com/equities/bjs-wholesale-club-holdings-inc-historical-data</t>
  </si>
  <si>
    <t>BJ</t>
  </si>
  <si>
    <t>US09203E1055</t>
  </si>
  <si>
    <t>Black Diamond</t>
  </si>
  <si>
    <t>BDTX</t>
  </si>
  <si>
    <t>US09247X1019</t>
  </si>
  <si>
    <t>BlackRock Inc.</t>
  </si>
  <si>
    <t>https://www.moex.com/ru/marketdata/#/mode=instrument&amp;secid=BLK-RM&amp;boardgroupid=1258&amp;mode_type=history&amp;date_from=2025-07-28</t>
  </si>
  <si>
    <t>https://ru.investing.com/equities/blackrock,-inc.-c-historical-data?cid=1174106</t>
  </si>
  <si>
    <t>BLK</t>
  </si>
  <si>
    <t>US09260D1072</t>
  </si>
  <si>
    <t>Blackstone Inc. ORD SHS</t>
  </si>
  <si>
    <t>https://www.moex.com/ru/marketdata/#/mode=instrument&amp;secid=BX-RM&amp;boardgroupid=1258&amp;mode_type=history&amp;date_from=2025-07-28</t>
  </si>
  <si>
    <t>https://ru.investing.com/equities/the-blackstone-group-historical-data</t>
  </si>
  <si>
    <t>BX</t>
  </si>
  <si>
    <t>US09354A1007</t>
  </si>
  <si>
    <t>Blink Charging Co. ORD SHS</t>
  </si>
  <si>
    <t>https://www.moex.com/ru/marketdata/#/mode=instrument&amp;secid=BLNK-RM&amp;boardgroupid=1258&amp;mode_type=history&amp;date_from=2025-07-28</t>
  </si>
  <si>
    <t>https://ru.investing.com/equities/car-charging-group-historical-data</t>
  </si>
  <si>
    <t>BLNK</t>
  </si>
  <si>
    <t>US8522341036</t>
  </si>
  <si>
    <t xml:space="preserve">Block Inc </t>
  </si>
  <si>
    <t>https://www.moex.com/ru/marketdata/#/mode=instrument&amp;secid=SQ-RM&amp;boardgroupid=1258&amp;mode_type=history&amp;date_from=2025-04-28</t>
  </si>
  <si>
    <t>https://ru.investing.com/equities/square-inc-historical-data</t>
  </si>
  <si>
    <t>SQ</t>
  </si>
  <si>
    <t>US0942351083</t>
  </si>
  <si>
    <t>Bloomin Brands, Inc. ORD SHS</t>
  </si>
  <si>
    <t>https://www.moex.com/ru/marketdata/#/mode=instrument&amp;secid=BLMN-RM&amp;boardgroupid=1258&amp;mode_type=history&amp;date_from=2025-07-28</t>
  </si>
  <si>
    <t>https://ru.investing.com/equities/bloomin-brands-inc-historical-data</t>
  </si>
  <si>
    <t>BLMN</t>
  </si>
  <si>
    <t>US09609G1004</t>
  </si>
  <si>
    <t>Bluebird bio, Inc.</t>
  </si>
  <si>
    <t>https://www.moex.com/ru/marketdata/#/mode=instrument&amp;secid=BLUE-RM&amp;boardgroupid=1258&amp;mode_type=history&amp;date_from=2025-07-28</t>
  </si>
  <si>
    <t>https://ru.investing.com/equities/bluebird-bio-inc-historical-data</t>
  </si>
  <si>
    <t>BLUE</t>
  </si>
  <si>
    <t>DE0005190003</t>
  </si>
  <si>
    <t>BMW AG</t>
  </si>
  <si>
    <t>BMW</t>
  </si>
  <si>
    <t xml:space="preserve"> Автомобильная промышленность</t>
  </si>
  <si>
    <t>US09857L1089</t>
  </si>
  <si>
    <t>Booking Holdings Inc.</t>
  </si>
  <si>
    <t>https://www.moex.com/ru/marketdata/#/mode=instrument&amp;secid=BKNG-RM&amp;boardgroupid=1258&amp;mode_type=history&amp;date_from=2025-04-28</t>
  </si>
  <si>
    <t>https://ru.investing.com/equities/priceline.com-inc-historical-data</t>
  </si>
  <si>
    <t>BKNG</t>
  </si>
  <si>
    <t>US0995021062</t>
  </si>
  <si>
    <t>Booz Allen Hamilton</t>
  </si>
  <si>
    <t>BAH</t>
  </si>
  <si>
    <t>Информационные технологии, консалтинг</t>
  </si>
  <si>
    <t>US0997241064</t>
  </si>
  <si>
    <t>BorgWarner Inc. ORD SHS</t>
  </si>
  <si>
    <t>https://www.moex.com/ru/marketdata/#/mode=instrument&amp;secid=BWA-RM&amp;boardgroupid=1258&amp;mode_type=history&amp;date_from=2025-07-28</t>
  </si>
  <si>
    <t>https://ru.investing.com/equities/borgwarner-historical-data</t>
  </si>
  <si>
    <t>BWA</t>
  </si>
  <si>
    <t>Производство автотранспорта</t>
  </si>
  <si>
    <t>US1011371077</t>
  </si>
  <si>
    <t>Boston Scientific Corporation</t>
  </si>
  <si>
    <t>https://www.moex.com/ru/marketdata/#/mode=instrument&amp;secid=BSX-RM&amp;boardgroupid=1258&amp;mode_type=history&amp;date_from=2025-07-28</t>
  </si>
  <si>
    <t>https://ru.investing.com/equities/boston-scien-cp-historical-data</t>
  </si>
  <si>
    <t>BSX</t>
  </si>
  <si>
    <t>US10316T1043</t>
  </si>
  <si>
    <t>Box, Inc. ORD SHS CL A</t>
  </si>
  <si>
    <t>https://www.moex.com/ru/marketdata/#/mode=instrument&amp;secid=BOX-RM&amp;boardgroupid=1258&amp;mode_type=history&amp;date_from=2025-07-28</t>
  </si>
  <si>
    <t>https://ru.investing.com/equities/seacube-container-leasing-ltd-historical-data</t>
  </si>
  <si>
    <t>BOX</t>
  </si>
  <si>
    <t>US1101221083</t>
  </si>
  <si>
    <t>Bristol-Myers (BMS)</t>
  </si>
  <si>
    <t>https://www.moex.com/ru/marketdata/#/mode=instrument&amp;secid=BMY-RM&amp;boardgroupid=1258&amp;mode_type=history&amp;date_from=2025-04-28</t>
  </si>
  <si>
    <t>https://ru.investing.com/equities/bristol-myer-squiib-historical-data</t>
  </si>
  <si>
    <t>BMY</t>
  </si>
  <si>
    <t>US1104481072</t>
  </si>
  <si>
    <t>British American Tobacco</t>
  </si>
  <si>
    <t>BATS</t>
  </si>
  <si>
    <t>Табачная отрасль</t>
  </si>
  <si>
    <t>Англия</t>
  </si>
  <si>
    <t>US11135F1012</t>
  </si>
  <si>
    <t>Broadcom</t>
  </si>
  <si>
    <t>https://www.moex.com/ru/marketdata/#/mode=instrument&amp;secid=AVGO-RM&amp;boardgroupid=1258&amp;mode_type=history&amp;date_from=2025-04-28</t>
  </si>
  <si>
    <t>https://ru.investing.com/equities/avago-technologies-historical-data</t>
  </si>
  <si>
    <t>AVGO</t>
  </si>
  <si>
    <t>полупроводниковая промышленность</t>
  </si>
  <si>
    <t>US11133T1034</t>
  </si>
  <si>
    <t>Broadridge Finan Solut ORD SHS</t>
  </si>
  <si>
    <t>https://www.moex.com/ru/marketdata/#/mode=instrument&amp;secid=BR-RM&amp;boardgroupid=1258&amp;mode_type=history&amp;date_from=2025-07-28</t>
  </si>
  <si>
    <t>https://ru.investing.com/equities/broadridge-financial-solutions-historical-data</t>
  </si>
  <si>
    <t>BR</t>
  </si>
  <si>
    <t>US1156372096</t>
  </si>
  <si>
    <t>Brown Forman Ord Shs Class B</t>
  </si>
  <si>
    <t>https://www.moex.com/ru/marketdata/#/mode=instrument&amp;secid=BFB-RM&amp;boardgroupid=1258&amp;mode_type=history&amp;date_from=2025-07-28</t>
  </si>
  <si>
    <t>https://ru.investing.com/equities/brown-forman-b-historical-data</t>
  </si>
  <si>
    <t>BFB</t>
  </si>
  <si>
    <t>US12008R1077</t>
  </si>
  <si>
    <t>Builders FirstSource ORD SHS</t>
  </si>
  <si>
    <t>https://www.moex.com/ru/marketdata/#/mode=instrument&amp;secid=BLDR-RM&amp;boardgroupid=1258&amp;mode_type=history&amp;date_from=2025-07-28</t>
  </si>
  <si>
    <t>https://ru.investing.com/equities/builders-firstsou-historical-data</t>
  </si>
  <si>
    <t>BLDR</t>
  </si>
  <si>
    <t>Оптовая торговля</t>
  </si>
  <si>
    <t>US12541W2098</t>
  </si>
  <si>
    <t>C.H. Robinson Worldwide, Inc.</t>
  </si>
  <si>
    <t>https://www.moex.com/ru/marketdata/#/mode=instrument&amp;secid=CHRW-RM&amp;boardgroupid=1258&amp;mode_type=history&amp;date_from=2025-07-28</t>
  </si>
  <si>
    <t>https://ru.investing.com/equities/c-h-robinson-worldwide-inc-historical-data</t>
  </si>
  <si>
    <t>CHRW</t>
  </si>
  <si>
    <t>Перевозки сухопутным транспортом</t>
  </si>
  <si>
    <t>US1273871087</t>
  </si>
  <si>
    <t>Cadence Design Systems ORD SHS</t>
  </si>
  <si>
    <t>https://www.moex.com/ru/marketdata/#/mode=instrument&amp;secid=CDNS-RM&amp;boardgroupid=1258&amp;mode_type=history&amp;date_from=2025-04-28</t>
  </si>
  <si>
    <t>https://ru.investing.com/equities/cadence-design-system-inc-historical-data</t>
  </si>
  <si>
    <t>CDNS</t>
  </si>
  <si>
    <t>US12769G1004</t>
  </si>
  <si>
    <t>Caesars Entertainment ORD SHS</t>
  </si>
  <si>
    <t>https://www.moex.com/ru/marketdata/#/mode=instrument&amp;secid=CZR-RM&amp;boardgroupid=1258&amp;mode_type=history&amp;date_from=2025-07-28</t>
  </si>
  <si>
    <t>https://ru.investing.com/equities/caesars-entertainment-corp-historical-data</t>
  </si>
  <si>
    <t>CZR</t>
  </si>
  <si>
    <t>Игорный бизнес</t>
  </si>
  <si>
    <t>CA13321L1085</t>
  </si>
  <si>
    <t>Cameco</t>
  </si>
  <si>
    <t>CCJ</t>
  </si>
  <si>
    <t>Горнодобывающая, уран</t>
  </si>
  <si>
    <t>US1344291091</t>
  </si>
  <si>
    <t>Campbell Soup Company</t>
  </si>
  <si>
    <t>https://www.moex.com/ru/marketdata/#/mode=instrument&amp;secid=CPB-RM&amp;boardgroupid=1258&amp;mode_type=history&amp;date_from=2025-07-28</t>
  </si>
  <si>
    <t>https://ru.investing.com/equities/campbell-soup-historical-data</t>
  </si>
  <si>
    <t>CPB</t>
  </si>
  <si>
    <t>US14040H1059</t>
  </si>
  <si>
    <t>Capital One Financial ORD SHS</t>
  </si>
  <si>
    <t>https://www.moex.com/ru/marketdata/#/mode=instrument&amp;secid=COF-RM&amp;boardgroupid=1258&amp;mode_type=history&amp;date_from=2025-07-28</t>
  </si>
  <si>
    <t>https://ru.investing.com/equities/capital-one-historical-data</t>
  </si>
  <si>
    <t>COF</t>
  </si>
  <si>
    <t>US1407551092</t>
  </si>
  <si>
    <t>Cara Therapeutics, Inc ORD SHS</t>
  </si>
  <si>
    <t>https://www.moex.com/ru/marketdata/#/mode=instrument&amp;secid=CARA-RM&amp;boardgroupid=1258&amp;mode_type=history&amp;date_from=2025-07-28</t>
  </si>
  <si>
    <t>https://ru.investing.com/equities/cara-therapeutic-historical-data?cid=1185081</t>
  </si>
  <si>
    <t>CARA</t>
  </si>
  <si>
    <t>US14149Y1082</t>
  </si>
  <si>
    <t>Cardinal Health Ord Shs</t>
  </si>
  <si>
    <t>https://www.moex.com/ru/marketdata/#/mode=instrument&amp;secid=CAH-RM&amp;boardgroupid=1258&amp;mode_type=history&amp;date_from=2025-07-28</t>
  </si>
  <si>
    <t>https://ru.investing.com/equities/cardinal-health-historical-data</t>
  </si>
  <si>
    <t>CAH</t>
  </si>
  <si>
    <t>US1417881091</t>
  </si>
  <si>
    <t>CarGurus, Inc. ORD SHS Cl A</t>
  </si>
  <si>
    <t>https://www.moex.com/ru/marketdata/#/mode=instrument&amp;secid=CARG-RM&amp;boardgroupid=1258&amp;mode_type=history&amp;date_from=2025-07-28</t>
  </si>
  <si>
    <t>https://ru.investing.com/equities/cargurus-historical-data</t>
  </si>
  <si>
    <t>CARG</t>
  </si>
  <si>
    <t>DE0005313704</t>
  </si>
  <si>
    <t>Carl Zeiss Meditec AG</t>
  </si>
  <si>
    <t>AFX</t>
  </si>
  <si>
    <t>Медицинские товары и услуги</t>
  </si>
  <si>
    <t>US1431301027</t>
  </si>
  <si>
    <t>CarMax, Inc. ORD SHS</t>
  </si>
  <si>
    <t>https://www.moex.com/ru/marketdata/#/mode=instrument&amp;secid=KMX-RM&amp;boardgroupid=1258&amp;mode_type=history&amp;date_from=2025-07-28</t>
  </si>
  <si>
    <t>https://ru.investing.com/equities/carmax-inc-historical-data</t>
  </si>
  <si>
    <t>KMX</t>
  </si>
  <si>
    <t>PA1436583006</t>
  </si>
  <si>
    <t>Carnival Corporation</t>
  </si>
  <si>
    <t>CCL</t>
  </si>
  <si>
    <t>Туристическая компания</t>
  </si>
  <si>
    <t>US14427M1071</t>
  </si>
  <si>
    <t>CarParts.com, Inc. ORD SHS</t>
  </si>
  <si>
    <t>https://www.moex.com/ru/marketdata/#/mode=instrument&amp;secid=PRTS-RM&amp;boardgroupid=1258&amp;mode_type=history&amp;date_from=2025-07-28</t>
  </si>
  <si>
    <t>https://ru.investing.com/equities/us-auto-parts-network-historical-data</t>
  </si>
  <si>
    <t>PRTS</t>
  </si>
  <si>
    <t>Онлайн-ретейл</t>
  </si>
  <si>
    <t>US14448C1045</t>
  </si>
  <si>
    <t>Carrier Global Corp ORD SHS</t>
  </si>
  <si>
    <t>https://www.moex.com/ru/marketdata/#/mode=instrument&amp;secid=CARR-RM&amp;boardgroupid=1258&amp;mode_type=history&amp;date_from=2025-07-28</t>
  </si>
  <si>
    <t>https://ru.investing.com/equities/carrier-global-corp</t>
  </si>
  <si>
    <t>CARR</t>
  </si>
  <si>
    <t>US1468691027</t>
  </si>
  <si>
    <t>Carvana Co. ORD SHS Cl A</t>
  </si>
  <si>
    <t>https://www.moex.com/ru/marketdata/#/mode=instrument&amp;secid=CVNA-RM&amp;boardgroupid=1258&amp;mode_type=history&amp;date_from=2025-07-28</t>
  </si>
  <si>
    <t>https://ru.investing.com/equities/carvana-historical-data</t>
  </si>
  <si>
    <t>CVNA</t>
  </si>
  <si>
    <t>US14817C1071</t>
  </si>
  <si>
    <t>Cassava Sciences, Inc. ORD SHS</t>
  </si>
  <si>
    <t>https://www.moex.com/ru/marketdata/#/mode=instrument&amp;secid=SAVA-RM&amp;boardgroupid=1258&amp;mode_type=history&amp;date_from=2025-07-28</t>
  </si>
  <si>
    <t>https://ru.investing.com/equities/pain-therapeutics-historical-data</t>
  </si>
  <si>
    <t>SAVA</t>
  </si>
  <si>
    <t>US1488061029</t>
  </si>
  <si>
    <t>Catalent, Inc. ORD SHS</t>
  </si>
  <si>
    <t>https://www.moex.com/ru/marketdata/#/mode=instrument&amp;secid=CTLT-RM&amp;boardgroupid=1258&amp;mode_type=history&amp;date_from=2025-07-28</t>
  </si>
  <si>
    <t>https://ru.investing.com/equities/catalent-inc?ysclid=mhc2qippaj607108725</t>
  </si>
  <si>
    <t>CTLT</t>
  </si>
  <si>
    <t>US1491231015</t>
  </si>
  <si>
    <t>Caterpillar Inc.</t>
  </si>
  <si>
    <t>CAT</t>
  </si>
  <si>
    <t>Машиностроение</t>
  </si>
  <si>
    <t>US12514G1085</t>
  </si>
  <si>
    <t>CDW Corporation ORD SHS</t>
  </si>
  <si>
    <t>https://www.moex.com/ru/marketdata/#/mode=instrument&amp;secid=CDW-RM&amp;boardgroupid=1258&amp;mode_type=history&amp;date_from=2025-07-28</t>
  </si>
  <si>
    <t>https://ru.investing.com/equities/cdw-corp-historical-data</t>
  </si>
  <si>
    <t>CDW</t>
  </si>
  <si>
    <t>US1508701034</t>
  </si>
  <si>
    <t>Celanese Corpor ORD SHS</t>
  </si>
  <si>
    <t>https://www.moex.com/ru/marketdata/#/mode=instrument&amp;secid=CE-RM&amp;boardgroupid=1258&amp;mode_type=history&amp;date_from=2025-07-28</t>
  </si>
  <si>
    <t>https://ru.investing.com/equities/celanese-historical-data</t>
  </si>
  <si>
    <t>CE</t>
  </si>
  <si>
    <t>US03073E1055</t>
  </si>
  <si>
    <t>Cencora, Inc. ORD SHS</t>
  </si>
  <si>
    <t>https://www.moex.com/ru/marketdata/#/mode=instrument&amp;secid=ABC-RM&amp;boardgroupid=1258&amp;mode_type=history&amp;date_from=2025-07-28</t>
  </si>
  <si>
    <t>https://ru.investing.com/equities/amerisourcebergn-historical-data</t>
  </si>
  <si>
    <t>ABC</t>
  </si>
  <si>
    <t>US15135B1017</t>
  </si>
  <si>
    <t>Centene Corporation ORD SHS</t>
  </si>
  <si>
    <t>https://www.moex.com/ru/marketdata/#/mode=instrument&amp;secid=CNC-RM&amp;boardgroupid=1258&amp;mode_type=history&amp;date_from=2025-07-28</t>
  </si>
  <si>
    <t>https://ru.investing.com/equities/centene-historical-data</t>
  </si>
  <si>
    <t>CNC</t>
  </si>
  <si>
    <t>US15189T1079</t>
  </si>
  <si>
    <t>CenterPoint Energy ORD SHS</t>
  </si>
  <si>
    <t>https://www.moex.com/ru/marketdata/#/mode=instrument&amp;secid=CNP-RM&amp;boardgroupid=1258&amp;mode_type=history&amp;date_from=2025-07-28</t>
  </si>
  <si>
    <t>https://ru.investing.com/equities/centerpoint-historical-data</t>
  </si>
  <si>
    <t>CNP</t>
  </si>
  <si>
    <t>US1567821046</t>
  </si>
  <si>
    <t>Cerner Corporation ORD SHS</t>
  </si>
  <si>
    <t>https://www.moex.com/ru/marketdata/#/mode=instrument&amp;secid=CERN-RM&amp;boardgroupid=1258&amp;mode_type=history&amp;date_from=2025-07-28</t>
  </si>
  <si>
    <t>CERN</t>
  </si>
  <si>
    <t>US1252691001</t>
  </si>
  <si>
    <t>CF Industries Holdings, Inc.</t>
  </si>
  <si>
    <t>https://www.moex.com/ru/marketdata/#/mode=instrument&amp;secid=CF-RM&amp;boardgroupid=1258&amp;mode_type=history&amp;date_from=2025-07-28</t>
  </si>
  <si>
    <t>https://ru.investing.com/equities/cf-industries-historical-data</t>
  </si>
  <si>
    <t>CF</t>
  </si>
  <si>
    <t>Удобрения</t>
  </si>
  <si>
    <t>US15872M1045</t>
  </si>
  <si>
    <t>ChampionX Corporation ORD SHS</t>
  </si>
  <si>
    <t>https://www.moex.com/ru/marketdata/#/mode=instrument&amp;secid=CHX-RM&amp;boardgroupid=1258&amp;mode_type=history&amp;date_from=2025-07-28</t>
  </si>
  <si>
    <t>https://ru.investing.com/equities/apergy-historical-data</t>
  </si>
  <si>
    <t>CHX</t>
  </si>
  <si>
    <t>US15912K1007</t>
  </si>
  <si>
    <t>Change Healthcare Inc. ORD SHS</t>
  </si>
  <si>
    <t>https://www.moex.com/ru/marketdata/#/mode=instrument&amp;secid=CHNG-RM&amp;boardgroupid=1258&amp;mode_type=history&amp;date_from=2025-07-28</t>
  </si>
  <si>
    <t>https://ru.investing.com/equities/change-healthcare-inc-historical-data</t>
  </si>
  <si>
    <t>CHNG</t>
  </si>
  <si>
    <t>US1598641074</t>
  </si>
  <si>
    <t>Charles River Labor Int ORDSHS</t>
  </si>
  <si>
    <t>https://www.moex.com/ru/marketdata/#/mode=instrument&amp;secid=CRL-RM&amp;boardgroupid=1258&amp;mode_type=history&amp;date_from=2025-07-28</t>
  </si>
  <si>
    <t>https://ru.investing.com/equities/charles-river-laboratories-intl-historical-data</t>
  </si>
  <si>
    <t>CRL</t>
  </si>
  <si>
    <t>US16119P1084</t>
  </si>
  <si>
    <t>Charter Communications, Inc.</t>
  </si>
  <si>
    <t>https://www.moex.com/ru/marketdata/#/mode=instrument&amp;secid=CHTR-RM&amp;boardgroupid=1258&amp;mode_type=history&amp;date_from=2025-07-28</t>
  </si>
  <si>
    <t>https://ru.investing.com/equities/charter-communications-historical-data</t>
  </si>
  <si>
    <t>CHTR</t>
  </si>
  <si>
    <t>IL0010824113</t>
  </si>
  <si>
    <t>Check Point</t>
  </si>
  <si>
    <t>CHKP</t>
  </si>
  <si>
    <t>IT компания,  информационная безопасность</t>
  </si>
  <si>
    <t>Израиль</t>
  </si>
  <si>
    <t>US1630921096</t>
  </si>
  <si>
    <t>Chegg, Inc. ORD SHS</t>
  </si>
  <si>
    <t>https://www.moex.com/ru/marketdata/#/mode=instrument&amp;secid=CHGG-RM&amp;boardgroupid=1258&amp;mode_type=history&amp;date_from=2025-07-28</t>
  </si>
  <si>
    <t>https://ru.investing.com/equities/chegg-inc-historical-data</t>
  </si>
  <si>
    <t>CHGG</t>
  </si>
  <si>
    <t>Образование</t>
  </si>
  <si>
    <t>US16383L1061</t>
  </si>
  <si>
    <t>ChemoCentryx, Inc. ORD SHS</t>
  </si>
  <si>
    <t>https://www.moex.com/ru/marketdata/#/mode=instrument&amp;secid=CCXI-RM&amp;boardgroupid=1258&amp;mode_type=history&amp;date_from=2025-07-28</t>
  </si>
  <si>
    <t>https://ru.investing.com/equities/chemocentryx-inc-historical-data</t>
  </si>
  <si>
    <t>CCXI</t>
  </si>
  <si>
    <t>US1638511089</t>
  </si>
  <si>
    <t>Chemours Company ORD SHS</t>
  </si>
  <si>
    <t>https://www.moex.com/ru/marketdata/#/mode=instrument&amp;secid=CC-RM&amp;boardgroupid=1258&amp;mode_type=history&amp;date_from=2025-07-28</t>
  </si>
  <si>
    <t>https://ru.investing.com/equities/chemours-co-historical-data</t>
  </si>
  <si>
    <t>CC</t>
  </si>
  <si>
    <t>US1667641005</t>
  </si>
  <si>
    <t>Chevron</t>
  </si>
  <si>
    <t>https://www.moex.com/ru/marketdata/#/mode=instrument&amp;secid=CVX-RM&amp;boardgroupid=1258&amp;mode_type=history&amp;date_from=2025-04-28</t>
  </si>
  <si>
    <t>https://ru.investing.com/equities/chevron-historical-data</t>
  </si>
  <si>
    <t>CVX</t>
  </si>
  <si>
    <t>Нефтедобывающая, нефтеперерабатывающая, нефтехимическая</t>
  </si>
  <si>
    <t>US16679L1098</t>
  </si>
  <si>
    <t>Chewy, Inc ORD SHS CL A</t>
  </si>
  <si>
    <t>https://www.moex.com/ru/marketdata/#/mode=instrument&amp;secid=CHWY-RM&amp;boardgroupid=1258&amp;mode_type=history&amp;date_from=2025-07-28</t>
  </si>
  <si>
    <t>https://ru.investing.com/equities/chewy-inc-historical-data</t>
  </si>
  <si>
    <t>CHWY</t>
  </si>
  <si>
    <t>US1696561059</t>
  </si>
  <si>
    <t>CHIPOTLE MEXICAN GRILLORDSHS</t>
  </si>
  <si>
    <t>https://www.moex.com/ru/marketdata/#/mode=instrument&amp;secid=CMG-RM&amp;boardgroupid=1258&amp;mode_type=history&amp;date_from=2025-07-28</t>
  </si>
  <si>
    <t>https://ru.investing.com/equities/chipotle-mexican-grill-inc-historical-data</t>
  </si>
  <si>
    <t>CMG</t>
  </si>
  <si>
    <t>US1713401024</t>
  </si>
  <si>
    <t>CHURCH AND DWIGHT CO.IN ORDSHS</t>
  </si>
  <si>
    <t>https://www.moex.com/ru/marketdata/#/mode=instrument&amp;secid=CHD-RM&amp;boardgroupid=1258&amp;mode_type=history&amp;date_from=2025-07-28</t>
  </si>
  <si>
    <t>https://ru.investing.com/equities/church---dwight-historical-data</t>
  </si>
  <si>
    <t>CHD</t>
  </si>
  <si>
    <t>Средства для гигиены и хозтовары</t>
  </si>
  <si>
    <t>US1720621010</t>
  </si>
  <si>
    <t>Cincinnati Financial Ord Shs</t>
  </si>
  <si>
    <t>https://www.moex.com/ru/marketdata/#/mode=instrument&amp;secid=CINF-RM&amp;boardgroupid=1258&amp;mode_type=history&amp;date_from=2025-07-28</t>
  </si>
  <si>
    <t>https://ru.investing.com/equities/cincinnati-fin-historical-data</t>
  </si>
  <si>
    <t>CINF</t>
  </si>
  <si>
    <t>US17243V1026</t>
  </si>
  <si>
    <t>Cinemark</t>
  </si>
  <si>
    <t>https://www.moex.com/ru/marketdata/#/mode=instrument&amp;secid=CNK-RM&amp;boardgroupid=1258&amp;mode_type=history&amp;date_from=2025-04-28</t>
  </si>
  <si>
    <t>https://ru.investing.com/equities/cinemark-hldg-historical-data</t>
  </si>
  <si>
    <t>CNK</t>
  </si>
  <si>
    <t>Индустрия развлечений</t>
  </si>
  <si>
    <t>US1729081059</t>
  </si>
  <si>
    <t>Cintas Ord Shs</t>
  </si>
  <si>
    <t>https://www.moex.com/ru/marketdata/#/mode=instrument&amp;secid=CTAS-RM&amp;mode_type=history&amp;date_from=2025-10-19&amp;date_till=2025-11-19</t>
  </si>
  <si>
    <t>https://ru.investing.com/equities/cintas-corp-historical-data</t>
  </si>
  <si>
    <t>CTAS</t>
  </si>
  <si>
    <t>US17275R1023</t>
  </si>
  <si>
    <t>Cisco Systems, Inc.</t>
  </si>
  <si>
    <t>https://www.moex.com/ru/marketdata/#/mode=instrument&amp;secid=CSCO-RM&amp;boardgroupid=1258&amp;mode_type=history&amp;date_from=2025-04-28</t>
  </si>
  <si>
    <t>https://ru.investing.com/equities/cisco-sys-inc-historical-data</t>
  </si>
  <si>
    <t>CSCO</t>
  </si>
  <si>
    <t>US1729674242</t>
  </si>
  <si>
    <t>Citigroup Inc.</t>
  </si>
  <si>
    <t>https://www.moex.com/ru/marketdata/#/mode=instrument&amp;secid=C-RM&amp;boardgroupid=1258&amp;mode_type=history&amp;date_from=2025-04-28</t>
  </si>
  <si>
    <t>https://ru.investing.com/equities/citigroup-historical-data</t>
  </si>
  <si>
    <t>C</t>
  </si>
  <si>
    <t>US1746101054</t>
  </si>
  <si>
    <t>Citizens Financial Group ORDSH</t>
  </si>
  <si>
    <t>https://www.moex.com/ru/marketdata/#/mode=instrument&amp;secid=CFG-RM&amp;boardgroupid=1258&amp;mode_type=history&amp;date_from=2025-07-28</t>
  </si>
  <si>
    <t>https://ru.investing.com/equities/citizens-financial-group-inc-historical-data</t>
  </si>
  <si>
    <t>CFG</t>
  </si>
  <si>
    <t>US1773761002</t>
  </si>
  <si>
    <t>Citrix Systems, Inc.ORD SHS</t>
  </si>
  <si>
    <t>https://www.moex.com/ru/marketdata/#/mode=instrument&amp;secid=CTXS-RM&amp;boardgroupid=1258&amp;mode_type=history&amp;date_from=2025-07-28</t>
  </si>
  <si>
    <t>https://ru.investing.com/equities/citrix-systems-biv-historical-data</t>
  </si>
  <si>
    <t>CTXS</t>
  </si>
  <si>
    <t>US18452B2097</t>
  </si>
  <si>
    <t>CleanSpark, Inc. ORD SHS</t>
  </si>
  <si>
    <t>https://www.moex.com/ru/marketdata/#/mode=instrument&amp;secid=CLSK-RM&amp;boardgroupid=1258&amp;mode_type=history&amp;date_from=2025-07-28</t>
  </si>
  <si>
    <t>https://ru.investing.com/equities/cleanspark-historical-data</t>
  </si>
  <si>
    <t>CLSK</t>
  </si>
  <si>
    <t>US1858991011</t>
  </si>
  <si>
    <t>Cleveland Cliffs Ord Shs</t>
  </si>
  <si>
    <t>https://www.moex.com/ru/marketdata/#/mode=instrument&amp;secid=CLF-RM&amp;boardgroupid=1258&amp;mode_type=history&amp;date_from=2025-07-28</t>
  </si>
  <si>
    <t>https://ru.investing.com/equities/cleveland-cliffs-historical-data</t>
  </si>
  <si>
    <t>CLF</t>
  </si>
  <si>
    <t>Черная металлургия</t>
  </si>
  <si>
    <t>US1890541097</t>
  </si>
  <si>
    <t>Clorox Ord Shs</t>
  </si>
  <si>
    <t>https://www.moex.com/ru/marketdata/#/mode=instrument&amp;secid=CLX-RM&amp;boardgroupid=1258&amp;mode_type=history&amp;date_from=2025-07-28</t>
  </si>
  <si>
    <t>https://ru.investing.com/equities/clorox-co-historical-data</t>
  </si>
  <si>
    <t>CLX</t>
  </si>
  <si>
    <t>US18915M1071</t>
  </si>
  <si>
    <t>Cloudflare, Inc. ORD SHS CL A</t>
  </si>
  <si>
    <t>https://www.moex.com/ru/marketdata/#/mode=instrument&amp;secid=NET-RM&amp;boardgroupid=1258&amp;mode_type=history&amp;date_from=2025-07-28</t>
  </si>
  <si>
    <t>https://ru.investing.com/equities/cloudflare-inc-historical-data</t>
  </si>
  <si>
    <t>NET</t>
  </si>
  <si>
    <t>US18914F1030</t>
  </si>
  <si>
    <t>Clover Health</t>
  </si>
  <si>
    <t>https://www.moex.com/ru/marketdata/#/mode=instrument&amp;secid=CLOV-RM&amp;boardgroupid=1258&amp;mode_type=history&amp;date_from=2025-04-28</t>
  </si>
  <si>
    <t>https://ru.investing.com/equities/social-capital-hedosophia-hold-iii-historical-data</t>
  </si>
  <si>
    <t>Медицинская компания</t>
  </si>
  <si>
    <t>US12572Q1058</t>
  </si>
  <si>
    <t>CME Group Inc.</t>
  </si>
  <si>
    <t>https://www.moex.com/ru/marketdata/#/mode=instrument&amp;secid=CME-RM&amp;boardgroupid=1258&amp;mode_type=history&amp;date_from=2025-07-28</t>
  </si>
  <si>
    <t>https://ru.investing.com/equities/cme-group-inc.-historical-data</t>
  </si>
  <si>
    <t>CME</t>
  </si>
  <si>
    <t>US1258961002</t>
  </si>
  <si>
    <t>CMS Energy Corp ORD SHS</t>
  </si>
  <si>
    <t>https://www.moex.com/ru/marketdata/#/mode=instrument&amp;secid=CMS-RM&amp;boardgroupid=1258&amp;mode_type=history&amp;date_from=2025-07-28</t>
  </si>
  <si>
    <t>https://ru.investing.com/equities/cms-energy-corp-historical-data</t>
  </si>
  <si>
    <t>CMS</t>
  </si>
  <si>
    <t>US12653C1080</t>
  </si>
  <si>
    <t>CNX Resources Corp ORD SHS</t>
  </si>
  <si>
    <t>https://www.moex.com/ru/marketdata/#/mode=instrument&amp;secid=CNX-RM&amp;boardgroupid=1258&amp;mode_type=history&amp;date_from=2025-07-28</t>
  </si>
  <si>
    <t>https://ru.investing.com/equities/consol-energy-historical-data</t>
  </si>
  <si>
    <t>CNX</t>
  </si>
  <si>
    <t>US1912161007</t>
  </si>
  <si>
    <t>Coca-Cola</t>
  </si>
  <si>
    <t>https://www.moex.com/ru/marketdata/#/mode=instrument&amp;secid=KO-RM&amp;boardgroupid=1258&amp;mode_type=history&amp;date_from=2025-04-28</t>
  </si>
  <si>
    <t>https://ru.investing.com/equities/coca-cola-co-historical-data</t>
  </si>
  <si>
    <t>KO</t>
  </si>
  <si>
    <t>Пищевая промышленность</t>
  </si>
  <si>
    <t>US1924461023</t>
  </si>
  <si>
    <t>Cognizant Technolog ORD SH CL A</t>
  </si>
  <si>
    <t>https://www.moex.com/ru/marketdata/#/mode=instrument&amp;secid=CTSH-RM&amp;boardgroupid=1258&amp;mode_type=history&amp;date_from=2025-07-28</t>
  </si>
  <si>
    <t>https://ru.investing.com/equities/cognizant-technology-solutio-historical-data</t>
  </si>
  <si>
    <t>CTSH</t>
  </si>
  <si>
    <t>US19247G1076</t>
  </si>
  <si>
    <t>Coherent Corp</t>
  </si>
  <si>
    <t>https://www.moex.com/ru/marketdata/#/mode=instrument&amp;secid=COHR-RM&amp;boardgroupid=1258&amp;mode_type=history&amp;date_from=2025-07-28</t>
  </si>
  <si>
    <t>https://ru.investing.com/equities/coherent-historical-data</t>
  </si>
  <si>
    <t>COHR</t>
  </si>
  <si>
    <t>Полупроводники</t>
  </si>
  <si>
    <t>US19260Q1076</t>
  </si>
  <si>
    <t>Coinbase Global, Inc.</t>
  </si>
  <si>
    <t>COIN</t>
  </si>
  <si>
    <t>Криптовалютная биржа</t>
  </si>
  <si>
    <t>US1941621039</t>
  </si>
  <si>
    <t>Colgate-Palmolive Company</t>
  </si>
  <si>
    <t>https://www.moex.com/ru/marketdata/#/mode=instrument&amp;secid=CL-RM&amp;boardgroupid=1258&amp;mode_type=history&amp;date_from=2025-07-28</t>
  </si>
  <si>
    <t>https://ru.investing.com/equities/colgate-palmo-historical-data</t>
  </si>
  <si>
    <t>CL</t>
  </si>
  <si>
    <t>US20030N1019</t>
  </si>
  <si>
    <t>Comcast Corporation Cl A</t>
  </si>
  <si>
    <t>https://www.moex.com/ru/marketdata/#/mode=instrument&amp;secid=CMCSA-RM&amp;boardgroupid=1258&amp;mode_type=history&amp;date_from=2025-07-28</t>
  </si>
  <si>
    <t>https://ru.investing.com/equities/comcast-corp-new-historical-data</t>
  </si>
  <si>
    <t>CMCSA</t>
  </si>
  <si>
    <t>Медиа</t>
  </si>
  <si>
    <t>US2003401070</t>
  </si>
  <si>
    <t>Comerica Inc ORD SHS</t>
  </si>
  <si>
    <t>https://www.moex.com/ru/marketdata/#/mode=instrument&amp;secid=CMA-RM&amp;boardgroupid=1258&amp;mode_type=history&amp;date_from=2025-07-28</t>
  </si>
  <si>
    <t>https://ru.investing.com/equities/comerica-inc-historical-data</t>
  </si>
  <si>
    <t>CMA</t>
  </si>
  <si>
    <t>US2058871029</t>
  </si>
  <si>
    <t>Conagra Brands, Inc. ORD SHS</t>
  </si>
  <si>
    <t>https://www.moex.com/ru/marketdata/#/mode=instrument&amp;secid=CAG-RM&amp;boardgroupid=1258&amp;mode_type=history&amp;date_from=2025-07-28</t>
  </si>
  <si>
    <t>https://ru.investing.com/equities/conagra-foods-historical-data</t>
  </si>
  <si>
    <t>CAG</t>
  </si>
  <si>
    <t>US20825C1045</t>
  </si>
  <si>
    <t>ConocoPhillips</t>
  </si>
  <si>
    <t>https://www.moex.com/ru/marketdata/#/mode=instrument&amp;secid=COP-RM&amp;boardgroupid=1258&amp;mode_type=history&amp;date_from=2025-04-28</t>
  </si>
  <si>
    <t>https://ru.investing.com/equities/conoco-phillips-historical-data</t>
  </si>
  <si>
    <t>COP</t>
  </si>
  <si>
    <t>нефтяная компания</t>
  </si>
  <si>
    <t>US2091151041</t>
  </si>
  <si>
    <t>Consolidated Edison Ord Shs</t>
  </si>
  <si>
    <t>https://www.moex.com/ru/marketdata/#/mode=instrument&amp;secid=ED-RM&amp;boardgroupid=1258&amp;mode_type=history&amp;date_from=2025-07-28</t>
  </si>
  <si>
    <t>https://ru.investing.com/equities/cocnsol-edison-historical-data</t>
  </si>
  <si>
    <t>ED</t>
  </si>
  <si>
    <t>US21036P1084</t>
  </si>
  <si>
    <t>Constellation BrandsORDSH A</t>
  </si>
  <si>
    <t>https://www.moex.com/ru/marketdata/#/mode=instrument&amp;secid=STZ-RM&amp;boardgroupid=1258&amp;mode_type=history&amp;date_from=2025-07-28</t>
  </si>
  <si>
    <t>https://ru.investing.com/equities/constellation-a-historical-data</t>
  </si>
  <si>
    <t>STZ</t>
  </si>
  <si>
    <t>US21078F1093</t>
  </si>
  <si>
    <t>ContextLogic Inc.</t>
  </si>
  <si>
    <t>https://www.moex.com/ru/marketdata/#/mode=instrument&amp;secid=WISH-RM&amp;boardgroupid=1258&amp;mode_type=history&amp;date_from=2025-07-28</t>
  </si>
  <si>
    <t>https://ru.investing.com/equities/contextlogic-historical-data</t>
  </si>
  <si>
    <t>WISH</t>
  </si>
  <si>
    <t>DE0005439004</t>
  </si>
  <si>
    <t>Continental AG</t>
  </si>
  <si>
    <t>CONG</t>
  </si>
  <si>
    <t>Автомобильная промышленность</t>
  </si>
  <si>
    <t>US2120151012</t>
  </si>
  <si>
    <t>Continental Resour Inc ORD SHS</t>
  </si>
  <si>
    <t>https://www.moex.com/ru/marketdata/#/mode=instrument&amp;secid=CLR-RM&amp;boardgroupid=1258&amp;mode_type=history&amp;date_from=2025-07-28</t>
  </si>
  <si>
    <t>https://ru.investing.com/equities/continental-resources-inc-historical-data</t>
  </si>
  <si>
    <t>CLR</t>
  </si>
  <si>
    <t>US2172041061</t>
  </si>
  <si>
    <t>Copart, Inc.</t>
  </si>
  <si>
    <t>https://www.moex.com/ru/marketdata/#/mode=instrument&amp;secid=CPRT-RM&amp;boardgroupid=1258&amp;mode_type=history&amp;date_from=2025-07-28</t>
  </si>
  <si>
    <t>https://ru.investing.com/equities/copart-inc-historical-data</t>
  </si>
  <si>
    <t>CPRT</t>
  </si>
  <si>
    <t>US21870U5020</t>
  </si>
  <si>
    <t>CorEnergy</t>
  </si>
  <si>
    <t>KORR</t>
  </si>
  <si>
    <t>Недвижимость и фонды недвижимости</t>
  </si>
  <si>
    <t>US2193501051</t>
  </si>
  <si>
    <t>Corning Incorporated</t>
  </si>
  <si>
    <t>https://www.moex.com/ru/marketdata/#/mode=instrument&amp;secid=GLW-RM&amp;boardgroupid=1258&amp;mode_type=history&amp;date_from=2025-07-28</t>
  </si>
  <si>
    <t>https://ru.investing.com/equities/corning-inc-historical-data</t>
  </si>
  <si>
    <t>GLW</t>
  </si>
  <si>
    <t>Цветная металлургия</t>
  </si>
  <si>
    <t>US22052L1044</t>
  </si>
  <si>
    <t>Corteva, Inc. ORD SHS</t>
  </si>
  <si>
    <t>https://www.moex.com/ru/marketdata/#/mode=instrument&amp;secid=CTVA-RM&amp;boardgroupid=1258&amp;mode_type=history&amp;date_from=2025-07-28</t>
  </si>
  <si>
    <t>https://ru.investing.com/equities/corteva-historical-data</t>
  </si>
  <si>
    <t>CTVA</t>
  </si>
  <si>
    <t>US22160N1090</t>
  </si>
  <si>
    <t>CoStar Group, Inc. ORD SHS</t>
  </si>
  <si>
    <t>https://www.moex.com/ru/marketdata/#/mode=instrument&amp;secid=CSGP-RM&amp;boardgroupid=1258&amp;mode_type=history&amp;date_from=2025-07-28</t>
  </si>
  <si>
    <t>https://ru.investing.com/equities/costar-group-historical-data</t>
  </si>
  <si>
    <t>CSGP</t>
  </si>
  <si>
    <t>US22160K1051</t>
  </si>
  <si>
    <t>Costco</t>
  </si>
  <si>
    <t>https://www.moex.com/ru/marketdata/#/mode=instrument&amp;secid=COST-RM&amp;boardgroupid=1258&amp;mode_type=history&amp;date_from=2025-04-28</t>
  </si>
  <si>
    <t>https://ru.investing.com/equities/costco-whsl-corp-new-historical-data</t>
  </si>
  <si>
    <t>COST</t>
  </si>
  <si>
    <t>розничная торговля, склады самообслуживания</t>
  </si>
  <si>
    <t>US1270971039</t>
  </si>
  <si>
    <t>Coterra Energy</t>
  </si>
  <si>
    <t>https://www.moex.com/ru/marketdata/#/mode=instrument&amp;secid=CTRA-RM&amp;boardgroupid=1258&amp;mode_type=history&amp;date_from=2025-04-28</t>
  </si>
  <si>
    <t>https://ru.investing.com/equities/cabot-oil---gas-historical-data</t>
  </si>
  <si>
    <t>CTRA</t>
  </si>
  <si>
    <t>US2220702037</t>
  </si>
  <si>
    <t>Coty Inc.</t>
  </si>
  <si>
    <t>https://www.moex.com/ru/marketdata/#/mode=instrument&amp;secid=COTY-RM&amp;boardgroupid=1258&amp;mode_type=history&amp;date_from=2025-07-28</t>
  </si>
  <si>
    <t>https://ru.investing.com/equities/coty-inc-historical-data</t>
  </si>
  <si>
    <t>COTY</t>
  </si>
  <si>
    <t>US22266L1061</t>
  </si>
  <si>
    <t>Coupa Software Incorp ORD SHS</t>
  </si>
  <si>
    <t>https://www.moex.com/ru/marketdata/#/mode=instrument&amp;secid=COUP-RM&amp;boardgroupid=1258&amp;mode_type=history&amp;date_from=2025-07-28</t>
  </si>
  <si>
    <t>https://ru.investing.com/equities/coupa-software-inc-historical-data</t>
  </si>
  <si>
    <t>COUP</t>
  </si>
  <si>
    <t>US22266T1097</t>
  </si>
  <si>
    <t>Coupang</t>
  </si>
  <si>
    <t>https://www.moex.com/ru/marketdata/#/mode=instrument&amp;secid=CPNG-RM&amp;boardgroupid=1258&amp;mode_type=history&amp;date_from=2025-04-28</t>
  </si>
  <si>
    <t>https://ru.investing.com/equities/coupang-llc-historical-data</t>
  </si>
  <si>
    <t>CPNG</t>
  </si>
  <si>
    <t>Южная Корея</t>
  </si>
  <si>
    <t>US22266M1045</t>
  </si>
  <si>
    <t>Coursera, Inc. ORD SHS</t>
  </si>
  <si>
    <t>https://www.moex.com/ru/marketdata/#/mode=instrument&amp;secid=COUR-RM&amp;boardgroupid=1258&amp;mode_type=history&amp;date_from=2025-07-28</t>
  </si>
  <si>
    <t>https://ru.investing.com/equities/coursera-historical-data</t>
  </si>
  <si>
    <t>COUR</t>
  </si>
  <si>
    <t>US2270461096</t>
  </si>
  <si>
    <t>Crocs</t>
  </si>
  <si>
    <t>https://www.moex.com/ru/marketdata/#/mode=instrument&amp;secid=CROX-RM&amp;boardgroupid=1258&amp;mode_type=history&amp;date_from=2025-04-28</t>
  </si>
  <si>
    <t>https://ru.investing.com/equities/crocs-historical-data</t>
  </si>
  <si>
    <t>CROX</t>
  </si>
  <si>
    <t>Производство одежды и аксессуаров</t>
  </si>
  <si>
    <t>US22788C1053</t>
  </si>
  <si>
    <t>CrowdStrike</t>
  </si>
  <si>
    <t>https://www.moex.com/ru/marketdata/#/mode=instrument&amp;secid=CRWD-RM&amp;boardgroupid=1258&amp;mode_type=history&amp;date_from=2025-04-28</t>
  </si>
  <si>
    <t>https://ru.investing.com/equities/crowdstrike-holdings-inc-historical-data</t>
  </si>
  <si>
    <t>CRWD</t>
  </si>
  <si>
    <t>US22822V1017</t>
  </si>
  <si>
    <t>Crown Castle</t>
  </si>
  <si>
    <t>CCI</t>
  </si>
  <si>
    <t>Инвестиционный фонд недвижимости</t>
  </si>
  <si>
    <t>US1264081035</t>
  </si>
  <si>
    <t>CSX Corporation ORD SHS</t>
  </si>
  <si>
    <t>https://www.moex.com/ru/marketdata/#/mode=instrument&amp;secid=CSX-RM&amp;boardgroupid=1258&amp;mode_type=history&amp;date_from=2025-07-28</t>
  </si>
  <si>
    <t>https://ru.investing.com/equities/csx-corp-historical-data</t>
  </si>
  <si>
    <t>CSX</t>
  </si>
  <si>
    <t>Железнодорожный транспорт</t>
  </si>
  <si>
    <t>US2310211063</t>
  </si>
  <si>
    <t>Cummins Inc.</t>
  </si>
  <si>
    <t>https://www.moex.com/ru/marketdata/#/mode=instrument&amp;secid=CMI-RM&amp;boardgroupid=1258&amp;mode_type=history&amp;date_from=2025-04-28</t>
  </si>
  <si>
    <t>https://ru.investing.com/equities/cummins-inc-historical-data</t>
  </si>
  <si>
    <t>CMI</t>
  </si>
  <si>
    <t xml:space="preserve">Машиностроение </t>
  </si>
  <si>
    <t>US1266501006</t>
  </si>
  <si>
    <t>CVS Health Corporation</t>
  </si>
  <si>
    <t>https://www.moex.com/ru/marketdata/#/mode=instrument&amp;secid=CVS-RM&amp;boardgroupid=1258&amp;mode_type=history&amp;date_from=2025-07-28</t>
  </si>
  <si>
    <t>https://ru.investing.com/equities/cvs-corp-historical-data</t>
  </si>
  <si>
    <t>CVS</t>
  </si>
  <si>
    <t>FMCG ретейл</t>
  </si>
  <si>
    <t>US23331A1097</t>
  </si>
  <si>
    <t>D.R. Horton</t>
  </si>
  <si>
    <t>https://www.moex.com/ru/marketdata/#/mode=instrument&amp;secid=DHI-RM&amp;boardgroupid=1258&amp;mode_type=history&amp;date_from=2025-04-28</t>
  </si>
  <si>
    <t>https://ru.investing.com/equities/d.r.-horton-inc-historical-data</t>
  </si>
  <si>
    <t>DHI</t>
  </si>
  <si>
    <t>Строительство жилья</t>
  </si>
  <si>
    <t>US2358511028</t>
  </si>
  <si>
    <t>Danaher Corporation ORD SHS</t>
  </si>
  <si>
    <t>https://www.moex.com/ru/marketdata/#/mode=instrument&amp;secid=DHR-RM&amp;boardgroupid=1258&amp;mode_type=history&amp;date_from=2025-07-28</t>
  </si>
  <si>
    <t>https://ru.investing.com/equities/danaher-corp-historical-data</t>
  </si>
  <si>
    <t>DHR</t>
  </si>
  <si>
    <t>US2371941053</t>
  </si>
  <si>
    <t>DARDEN RESTAURANTS INCO ORDSHS</t>
  </si>
  <si>
    <t>https://www.moex.com/ru/marketdata/#/mode=instrument&amp;secid=DRI-RM&amp;boardgroupid=1258&amp;mode_type=history&amp;date_from=2025-07-28</t>
  </si>
  <si>
    <t>https://ru.investing.com/equities/dardem-rest-historical-data</t>
  </si>
  <si>
    <t>DRI</t>
  </si>
  <si>
    <t>US2372661015</t>
  </si>
  <si>
    <t>Darling Ingredients Inc. ORDSH</t>
  </si>
  <si>
    <t>https://www.moex.com/ru/marketdata/#/mode=instrument&amp;secid=DAR-RM&amp;boardgroupid=1258&amp;mode_type=history&amp;date_from=2025-07-28</t>
  </si>
  <si>
    <t>https://ru.investing.com/equities/darling-international-historical-data</t>
  </si>
  <si>
    <t>DAR</t>
  </si>
  <si>
    <t>US23804L1035</t>
  </si>
  <si>
    <t>Datadog, Inc. ORD SHS CL A</t>
  </si>
  <si>
    <t>https://www.moex.com/ru/marketdata/#/mode=instrument&amp;secid=DDOG-RM&amp;boardgroupid=1258&amp;mode_type=history&amp;date_from=2025-07-28</t>
  </si>
  <si>
    <t>https://ru.investing.com/equities/datadog-inc-historical-data</t>
  </si>
  <si>
    <t>DDOG</t>
  </si>
  <si>
    <t>US2383371091</t>
  </si>
  <si>
    <t>DaveandBusters EntrtainORD SHS</t>
  </si>
  <si>
    <t>https://www.moex.com/ru/marketdata/#/mode=instrument&amp;secid=PLAY-RM&amp;boardgroupid=1258&amp;mode_type=history&amp;date_from=2025-07-28</t>
  </si>
  <si>
    <t>https://ru.investing.com/equities/dave-busters-entertainment-historical-data</t>
  </si>
  <si>
    <t>PLAY</t>
  </si>
  <si>
    <t>US23918K1088</t>
  </si>
  <si>
    <t>DaVita Inc. ORD SHS</t>
  </si>
  <si>
    <t>https://www.moex.com/ru/marketdata/#/mode=instrument&amp;secid=DVA-RM&amp;boardgroupid=1258&amp;mode_type=history&amp;date_from=2025-07-28</t>
  </si>
  <si>
    <t>https://ru.investing.com/equities/davita-inc-historical-data</t>
  </si>
  <si>
    <t>DVA</t>
  </si>
  <si>
    <t>Медицинские услуги</t>
  </si>
  <si>
    <t>US2441991054</t>
  </si>
  <si>
    <t>Deere &amp; CompanyORD SHS</t>
  </si>
  <si>
    <t>https://www.moex.com/ru/marketdata/#/mode=instrument&amp;secid=DE-RM&amp;boardgroupid=1258&amp;mode_type=history&amp;date_from=2025-07-28</t>
  </si>
  <si>
    <t>https://ru.investing.com/equities/deere---co-historical-data</t>
  </si>
  <si>
    <t>DE</t>
  </si>
  <si>
    <t>US24665A1034</t>
  </si>
  <si>
    <t>Delek US Holdings</t>
  </si>
  <si>
    <t>DK</t>
  </si>
  <si>
    <t>Нефтеперерабатывающая промышленность</t>
  </si>
  <si>
    <t>US24703L2025</t>
  </si>
  <si>
    <t>Dell Technologies ORD SHS CL C</t>
  </si>
  <si>
    <t>https://www.moex.com/ru/marketdata/#/mode=instrument&amp;secid=DELL-RM&amp;boardgroupid=1258&amp;mode_type=history&amp;date_from=2025-07-28</t>
  </si>
  <si>
    <t>https://ru.investing.com/equities/dell-inc-historical-data</t>
  </si>
  <si>
    <t>DELL</t>
  </si>
  <si>
    <t>Компьютеры, периферия и комплектующие</t>
  </si>
  <si>
    <t>US2473617023</t>
  </si>
  <si>
    <t>Delta Air Lines. Inc.</t>
  </si>
  <si>
    <t>https://www.moex.com/ru/marketdata/#/mode=instrument&amp;secid=DAL-RM&amp;boardgroupid=1258&amp;mode_type=history&amp;date_from=2025-04-28</t>
  </si>
  <si>
    <t>https://ru.investing.com/equities/delta-air-lines-new-historical-data</t>
  </si>
  <si>
    <t>DAL</t>
  </si>
  <si>
    <t>US24906P1093</t>
  </si>
  <si>
    <t>DENTSPLY SIRONA ORD SHS</t>
  </si>
  <si>
    <t>https://www.moex.com/ru/marketdata/#/mode=instrument&amp;secid=XRAY-RM&amp;boardgroupid=1258&amp;mode_type=history&amp;date_from=2025-07-28</t>
  </si>
  <si>
    <t>https://ru.investing.com/equities/dentsply-intl-inc-new-historical-data</t>
  </si>
  <si>
    <t>XRAY</t>
  </si>
  <si>
    <t>DE0005557508</t>
  </si>
  <si>
    <t>Deutsche Telekom AG</t>
  </si>
  <si>
    <t>DTE</t>
  </si>
  <si>
    <t>US25179M1036</t>
  </si>
  <si>
    <t>Devon Energy Ord Shs</t>
  </si>
  <si>
    <t>https://www.moex.com/ru/marketdata/#/mode=instrument&amp;secid=DVN-RM&amp;boardgroupid=1258&amp;mode_type=history&amp;date_from=2025-07-28</t>
  </si>
  <si>
    <t>https://ru.investing.com/equities/devon-energy-historical-data</t>
  </si>
  <si>
    <t>DVN</t>
  </si>
  <si>
    <t>US2521311074</t>
  </si>
  <si>
    <t>DexCom, Inc.</t>
  </si>
  <si>
    <t>https://www.moex.com/ru/marketdata/#/mode=instrument&amp;secid=DXCM-RM&amp;boardgroupid=1258&amp;mode_type=history&amp;date_from=2025-07-28</t>
  </si>
  <si>
    <t>https://ru.investing.com/equities/dexcom-historical-data</t>
  </si>
  <si>
    <t>DXCM</t>
  </si>
  <si>
    <t>US25278X1090</t>
  </si>
  <si>
    <t>Diamondback Energy ORD SHS</t>
  </si>
  <si>
    <t>https://www.moex.com/ru/marketdata/#/mode=instrument&amp;secid=FANG-RM&amp;boardgroupid=1258&amp;mode_type=history&amp;date_from=2025-07-28</t>
  </si>
  <si>
    <t>https://ru.investing.com/equities/diamondback-energy-inc-historical-data</t>
  </si>
  <si>
    <t>FANG</t>
  </si>
  <si>
    <t>US2533931026</t>
  </si>
  <si>
    <t>DICKS Sport Goods Inc ORD SHS</t>
  </si>
  <si>
    <t>https://www.moex.com/ru/marketdata/#/mode=instrument&amp;secid=DKS-RM&amp;boardgroupid=1258&amp;mode_type=history&amp;date_from=2025-07-28</t>
  </si>
  <si>
    <t>https://ru.investing.com/equities/dicks-sporting-goods-inc-historical-data</t>
  </si>
  <si>
    <t>DKS</t>
  </si>
  <si>
    <t>US25400W1027</t>
  </si>
  <si>
    <t>Digital Turbine, Inc. ORD SHS</t>
  </si>
  <si>
    <t>https://www.moex.com/ru/marketdata/#/mode=instrument&amp;secid=APPS-RM&amp;boardgroupid=1258&amp;mode_type=history&amp;date_from=2025-07-28</t>
  </si>
  <si>
    <t>https://ru.investing.com/equities/mandalay-digital-group-inc-historical-data</t>
  </si>
  <si>
    <t>APPS</t>
  </si>
  <si>
    <t>US25402D1028</t>
  </si>
  <si>
    <t>DigitalOcean</t>
  </si>
  <si>
    <t>DOCN</t>
  </si>
  <si>
    <t>IT компания, провайдер облачных инфраструктур</t>
  </si>
  <si>
    <t>US2547091080</t>
  </si>
  <si>
    <t>Discover Financial Serv Ordshs</t>
  </si>
  <si>
    <t>https://www.moex.com/ru/marketdata/#/mode=instrument&amp;secid=DFS-RM&amp;boardgroupid=1258&amp;mode_type=history&amp;date_from=2025-07-28</t>
  </si>
  <si>
    <t>https://ru.investing.com/equities/discover-financl-historical-data</t>
  </si>
  <si>
    <t>DFS</t>
  </si>
  <si>
    <t>Прочие финансовые институты</t>
  </si>
  <si>
    <t>US25470M1099</t>
  </si>
  <si>
    <t>DISH Network Corp ORD SHS CL A</t>
  </si>
  <si>
    <t>https://www.moex.com/ru/marketdata/#/mode=instrument&amp;secid=DISH-RM&amp;boardgroupid=1258&amp;mode_type=history&amp;date_from=2025-07-28</t>
  </si>
  <si>
    <t>https://ru.investing.com/equities/dish-network-historical-data</t>
  </si>
  <si>
    <t>DISH</t>
  </si>
  <si>
    <t>US2561631068</t>
  </si>
  <si>
    <t>DocuSign, Inc. ORD SHS</t>
  </si>
  <si>
    <t>https://www.moex.com/ru/marketdata/#/mode=instrument&amp;secid=DOCU-RM&amp;boardgroupid=1258&amp;mode_type=history&amp;date_from=2025-07-28</t>
  </si>
  <si>
    <t>https://ru.investing.com/equities/docusign-inc-historical-data</t>
  </si>
  <si>
    <t>DOCU</t>
  </si>
  <si>
    <t>US2566771059</t>
  </si>
  <si>
    <t>Dollar General Corporation</t>
  </si>
  <si>
    <t>https://www.moex.com/ru/marketdata/#/mode=instrument&amp;secid=DG-RM&amp;boardgroupid=1258&amp;mode_type=history&amp;date_from=2025-07-28</t>
  </si>
  <si>
    <t>https://ru.investing.com/equities/dollar-general-corp-historical-data</t>
  </si>
  <si>
    <t>DG</t>
  </si>
  <si>
    <t>US2567461080</t>
  </si>
  <si>
    <t>Dollar Tree, Inc ORDSHS</t>
  </si>
  <si>
    <t>https://www.moex.com/ru/marketdata/#/mode=instrument&amp;secid=DLTR-RM&amp;boardgroupid=1258&amp;mode_type=history&amp;date_from=2025-07-28</t>
  </si>
  <si>
    <t>https://ru.investing.com/equities/dollar-tree-inc-historical-data</t>
  </si>
  <si>
    <t>DLTR</t>
  </si>
  <si>
    <t>US25746U1097</t>
  </si>
  <si>
    <t>Dominion Energy, Inc. ORD SHS</t>
  </si>
  <si>
    <t>https://www.moex.com/ru/marketdata/#/mode=instrument&amp;secid=D-RM&amp;boardgroupid=1258&amp;mode_type=history&amp;date_from=2025-07-28</t>
  </si>
  <si>
    <t>https://ru.investing.com/equities/dominion-res-historical-data</t>
  </si>
  <si>
    <t>D</t>
  </si>
  <si>
    <t>US25754A2015</t>
  </si>
  <si>
    <t>Dominos Pizza, Inc ORD SHS</t>
  </si>
  <si>
    <t>https://www.moex.com/ru/marketdata/#/mode=instrument&amp;secid=DPZ-RM&amp;boardgroupid=1258&amp;mode_type=history&amp;date_from=2025-07-28</t>
  </si>
  <si>
    <t>https://ru.investing.com/equities/dominos-pizza-inc-historical-data</t>
  </si>
  <si>
    <t>DPZ</t>
  </si>
  <si>
    <t>US25809K1051</t>
  </si>
  <si>
    <t>DoorDash, Inc. ORD SHS CL A</t>
  </si>
  <si>
    <t>https://www.moex.com/ru/marketdata/#/mode=instrument&amp;secid=DASH-RM&amp;boardgroupid=1258&amp;mode_type=history&amp;date_from=2025-07-28</t>
  </si>
  <si>
    <t>https://ru.investing.com/equities/doordash-inc-historical-data</t>
  </si>
  <si>
    <t>DASH</t>
  </si>
  <si>
    <t>US2600031080</t>
  </si>
  <si>
    <t>Dover Ord Shs</t>
  </si>
  <si>
    <t>https://www.moex.com/ru/marketdata/#/mode=instrument&amp;secid=DOV-RM&amp;boardgroupid=1258&amp;mode_type=history&amp;date_from=2025-07-28</t>
  </si>
  <si>
    <t>https://ru.investing.com/equities/dover-corp-historical-data</t>
  </si>
  <si>
    <t>DOV</t>
  </si>
  <si>
    <t>US2605571031</t>
  </si>
  <si>
    <t>Dow Inc.</t>
  </si>
  <si>
    <t>https://www.moex.com/ru/marketdata/#/mode=instrument&amp;secid=DOW-RM&amp;boardgroupid=1258&amp;mode_type=history&amp;date_from=2025-07-28</t>
  </si>
  <si>
    <t>https://ru.investing.com/equities/dow-chemical-historical-data</t>
  </si>
  <si>
    <t>DOW</t>
  </si>
  <si>
    <t>US26622P1075</t>
  </si>
  <si>
    <t>Doximity, Inc. ORD SHS CL A</t>
  </si>
  <si>
    <t>https://www.moex.com/ru/marketdata/#/mode=instrument&amp;secid=DOCS-RM&amp;boardgroupid=1258&amp;mode_type=history&amp;date_from=2025-07-28</t>
  </si>
  <si>
    <t>https://ru.investing.com/equities/doximity-historical-data</t>
  </si>
  <si>
    <t>DOCS</t>
  </si>
  <si>
    <t>US26142R1041</t>
  </si>
  <si>
    <t>DraftKings Inc. ORD SHS Cl A</t>
  </si>
  <si>
    <t>https://www.moex.com/ru/marketdata/#/mode=instrument&amp;secid=DKNG-RM&amp;boardgroupid=1258&amp;mode_type=history&amp;date_from=2025-07-28</t>
  </si>
  <si>
    <t>https://ru.investing.com/equities/diamond-eagle-acquisition-corp-historical-data?cid=1180683</t>
  </si>
  <si>
    <t>DKNG</t>
  </si>
  <si>
    <t>US26210C1045</t>
  </si>
  <si>
    <t>Dropbox</t>
  </si>
  <si>
    <t>https://www.moex.com/ru/marketdata/#/mode=instrument&amp;secid=DBX-RM&amp;boardgroupid=1258&amp;mode_type=history&amp;date_from=2025-04-28</t>
  </si>
  <si>
    <t>https://ru.investing.com/equities/dropbox-inc-historical-data</t>
  </si>
  <si>
    <t>DBX</t>
  </si>
  <si>
    <t>IT компания платформы для совместной работы.</t>
  </si>
  <si>
    <t>US26441C2044</t>
  </si>
  <si>
    <t>Duke Energy Corp ORD SHS</t>
  </si>
  <si>
    <t>https://www.moex.com/ru/marketdata/#/mode=instrument&amp;secid=DUK-RM&amp;boardgroupid=1258&amp;mode_type=history&amp;date_from=2025-07-28</t>
  </si>
  <si>
    <t>https://ru.investing.com/equities/duke-energy-historical-data</t>
  </si>
  <si>
    <t>DUK</t>
  </si>
  <si>
    <t>US26614N1028</t>
  </si>
  <si>
    <t>DuPont de Nemours, Inc.</t>
  </si>
  <si>
    <t>https://www.moex.com/ru/marketdata/#/mode=instrument&amp;secid=DD-RM&amp;boardgroupid=1258&amp;mode_type=history&amp;date_from=2025-07-28</t>
  </si>
  <si>
    <t>https://ru.investing.com/equities/du-pont-historical-data</t>
  </si>
  <si>
    <t>DD</t>
  </si>
  <si>
    <t>US23355L1061</t>
  </si>
  <si>
    <t>DXC Technology Co ORD SHS</t>
  </si>
  <si>
    <t>https://www.moex.com/ru/marketdata/#/mode=instrument&amp;secid=DXC-RM&amp;boardgroupid=1258&amp;mode_type=history&amp;date_from=2025-07-28</t>
  </si>
  <si>
    <t>https://ru.investing.com/equities/comp-science-historical-data</t>
  </si>
  <si>
    <t>DXC</t>
  </si>
  <si>
    <t>US2681501092</t>
  </si>
  <si>
    <t>Dynatrace, Inc. ORD SHS</t>
  </si>
  <si>
    <t>https://www.moex.com/ru/marketdata/#/mode=instrument&amp;secid=DT-RM&amp;boardgroupid=1258&amp;mode_type=history&amp;date_from=2025-07-28</t>
  </si>
  <si>
    <t>https://ru.investing.com/equities/dynatrace-holdings-llc-historical-data</t>
  </si>
  <si>
    <t>DT</t>
  </si>
  <si>
    <t>DE000ENAG999</t>
  </si>
  <si>
    <t xml:space="preserve">E.ON SE </t>
  </si>
  <si>
    <t>EOAN</t>
  </si>
  <si>
    <t>US2774321002</t>
  </si>
  <si>
    <t>Eastman Chemical Comp ORD SHS</t>
  </si>
  <si>
    <t>https://www.moex.com/ru/marketdata/#/mode=instrument&amp;secid=EMN-RM&amp;boardgroupid=1258&amp;mode_type=history&amp;date_from=2025-07-28</t>
  </si>
  <si>
    <t>https://ru.investing.com/equities/eastman-chem-historical-data</t>
  </si>
  <si>
    <t>EMN</t>
  </si>
  <si>
    <t>US2786421030</t>
  </si>
  <si>
    <t>eBay Inc.</t>
  </si>
  <si>
    <t>https://www.moex.com/ru/marketdata/#/mode=instrument&amp;secid=EBAY-RM&amp;boardgroupid=1258&amp;mode_type=history&amp;date_from=2025-07-28</t>
  </si>
  <si>
    <t>https://ru.investing.com/equities/ebay-inc-historical-data</t>
  </si>
  <si>
    <t>EBAY</t>
  </si>
  <si>
    <t>US2788651006</t>
  </si>
  <si>
    <t>Ecolab Inc.</t>
  </si>
  <si>
    <t>https://www.moex.com/ru/marketdata/#/mode=instrument&amp;secid=ECL-RM&amp;boardgroupid=1258&amp;mode_type=history&amp;date_from=2025-07-28</t>
  </si>
  <si>
    <t>https://ru.investing.com/equities/ecolab-inc-historical-data</t>
  </si>
  <si>
    <t>ECL</t>
  </si>
  <si>
    <t>Персональные и коммерческие услуги</t>
  </si>
  <si>
    <t>US2810201077</t>
  </si>
  <si>
    <t>Edison International ORD SHS</t>
  </si>
  <si>
    <t>https://www.moex.com/ru/marketdata/#/mode=instrument&amp;secid=EIX-RM&amp;boardgroupid=1258&amp;mode_type=history&amp;date_from=2025-07-28</t>
  </si>
  <si>
    <t>https://ru.investing.com/equities/edison-intl-historical-data</t>
  </si>
  <si>
    <t>EIX</t>
  </si>
  <si>
    <t>US28106W1036</t>
  </si>
  <si>
    <t>Editas Medicine, Inc.ORD SHS</t>
  </si>
  <si>
    <t>https://www.moex.com/ru/marketdata/#/mode=instrument&amp;secid=EDIT-RM&amp;boardgroupid=1258&amp;mode_type=history&amp;date_from=2025-07-28</t>
  </si>
  <si>
    <t>https://ru.investing.com/equities/editas-medicine-historical-data</t>
  </si>
  <si>
    <t>EDIT</t>
  </si>
  <si>
    <t>US28176E1082</t>
  </si>
  <si>
    <t>Edwards Lifesciences Co Ordshs</t>
  </si>
  <si>
    <t>https://www.moex.com/ru/marketdata/#/mode=instrument&amp;secid=EW-RM&amp;boardgroupid=1258&amp;mode_type=history&amp;date_from=2025-07-28</t>
  </si>
  <si>
    <t>https://ru.investing.com/equities/edward-lifescience-historical-data</t>
  </si>
  <si>
    <t>EW</t>
  </si>
  <si>
    <t>US28238P1093</t>
  </si>
  <si>
    <t>eHealth</t>
  </si>
  <si>
    <t>https://www.moex.com/ru/marketdata/#/mode=instrument&amp;secid=EHTH-RM&amp;boardgroupid=1258&amp;mode_type=history&amp;date_from=2025-04-28</t>
  </si>
  <si>
    <t>https://ru.investing.com/equities/ehealth-historical-data</t>
  </si>
  <si>
    <t>EHTH</t>
  </si>
  <si>
    <t xml:space="preserve">страховая компания </t>
  </si>
  <si>
    <t>US28414H1032</t>
  </si>
  <si>
    <t>Elanco Animal Heal Inc ORD SHS</t>
  </si>
  <si>
    <t>https://www.moex.com/ru/marketdata/#/mode=instrument&amp;secid=ELAN-RM&amp;boardgroupid=1258&amp;mode_type=history&amp;date_from=2025-07-28</t>
  </si>
  <si>
    <t>https://ru.investing.com/equities/elanco-animal-health-historical-data</t>
  </si>
  <si>
    <t>ELAN</t>
  </si>
  <si>
    <t>US2855121099</t>
  </si>
  <si>
    <t>Electronic Arts</t>
  </si>
  <si>
    <t>https://www.moex.com/ru/marketdata/#/mode=instrument&amp;secid=EA-RM&amp;boardgroupid=1258&amp;mode_type=history&amp;date_from=2025-04-28</t>
  </si>
  <si>
    <t>https://ru.investing.com/equities/electronic-arts-inc-historical-data</t>
  </si>
  <si>
    <t>EA</t>
  </si>
  <si>
    <t>индустрия компьютерных игр</t>
  </si>
  <si>
    <t>US0367521038</t>
  </si>
  <si>
    <t>Elevance Health, Inc.</t>
  </si>
  <si>
    <t>https://www.moex.com/ru/marketdata/#/mode=instrument&amp;secid=ELV-RM&amp;boardgroupid=1258&amp;mode_type=history&amp;date_from=2025-07-28</t>
  </si>
  <si>
    <t>https://ru.investing.com/equities/wellpoint-inc-historical-data</t>
  </si>
  <si>
    <t>ELV</t>
  </si>
  <si>
    <t>US5324571083</t>
  </si>
  <si>
    <t>Eli Lilly and</t>
  </si>
  <si>
    <t>https://www.moex.com/ru/marketdata/#/mode=instrument&amp;secid=LLY-RM&amp;boardgroupid=1258&amp;mode_type=history&amp;date_from=2025-04-28</t>
  </si>
  <si>
    <t>https://ru.investing.com/equities/eli-lilly-and-co-historical-data</t>
  </si>
  <si>
    <t>LLY</t>
  </si>
  <si>
    <t>US2910111044</t>
  </si>
  <si>
    <t>Emerson Electric Co.</t>
  </si>
  <si>
    <t>https://www.moex.com/ru/marketdata/#/mode=instrument&amp;secid=EMR-RM&amp;boardgroupid=1258&amp;mode_type=history&amp;date_from=2025-07-28</t>
  </si>
  <si>
    <t>https://ru.investing.com/equities/emerson-elec-historical-data</t>
  </si>
  <si>
    <t>EMR</t>
  </si>
  <si>
    <t>US29355A1079</t>
  </si>
  <si>
    <t>Enphase Energy Ord Shs</t>
  </si>
  <si>
    <t>https://www.moex.com/ru/marketdata/#/mode=instrument&amp;secid=ENPH-RM&amp;boardgroupid=1258&amp;mode_type=history&amp;date_from=2025-07-28</t>
  </si>
  <si>
    <t>https://ru.investing.com/equities/enphase-energy-inc-historical-data</t>
  </si>
  <si>
    <t>ENPH</t>
  </si>
  <si>
    <t>US29364G1031</t>
  </si>
  <si>
    <t>Entergy CorporationORD SHS</t>
  </si>
  <si>
    <t>https://www.moex.com/ru/marketdata/#/mode=instrument&amp;secid=ETR-RM&amp;boardgroupid=1258&amp;mode_type=history&amp;date_from=2025-07-28</t>
  </si>
  <si>
    <t>https://ru.investing.com/equities/entergy-corp-historical-data</t>
  </si>
  <si>
    <t>ETR</t>
  </si>
  <si>
    <t>US26875P1012</t>
  </si>
  <si>
    <t>EOG Resources, Inc. ORD SHS</t>
  </si>
  <si>
    <t>https://www.moex.com/ru/marketdata/#/mode=instrument&amp;secid=EOG-RM&amp;boardgroupid=1258&amp;mode_type=history&amp;date_from=2025-07-28</t>
  </si>
  <si>
    <t>https://ru.investing.com/equities/eog-resources-historical-data</t>
  </si>
  <si>
    <t>EOG</t>
  </si>
  <si>
    <t>US26884L1098</t>
  </si>
  <si>
    <t>EQT Corporation</t>
  </si>
  <si>
    <t>https://www.moex.com/ru/marketdata/#/mode=instrument&amp;secid=EQT-RM&amp;boardgroupid=1258&amp;mode_type=history&amp;date_from=2025-04-28</t>
  </si>
  <si>
    <t>https://ru.investing.com/equities/eqt-corporation-historical-data</t>
  </si>
  <si>
    <t>EQT</t>
  </si>
  <si>
    <t>US2944291051</t>
  </si>
  <si>
    <t>Equifax Inc. ORD SHS</t>
  </si>
  <si>
    <t>https://www.moex.com/ru/marketdata/#/mode=instrument&amp;secid=EFX-RM&amp;boardgroupid=1258&amp;mode_type=history&amp;date_from=2025-07-28</t>
  </si>
  <si>
    <t>https://ru.investing.com/equities/equifax-inc-historical-data</t>
  </si>
  <si>
    <t>EFX</t>
  </si>
  <si>
    <t>US2946001011</t>
  </si>
  <si>
    <t>Equitrans Midstream Cor ORDSHS</t>
  </si>
  <si>
    <t>https://www.moex.com/ru/marketdata/#/mode=instrument&amp;secid=ETRN-RM&amp;boardgroupid=1258&amp;mode_type=history&amp;date_from=2025-07-28</t>
  </si>
  <si>
    <t>https://ru.investing.com/equities/equitrans-midstream-historical-data</t>
  </si>
  <si>
    <t>ETRN</t>
  </si>
  <si>
    <t>Трубопроводный транспорт</t>
  </si>
  <si>
    <t>US29664W1053</t>
  </si>
  <si>
    <t>Esperion</t>
  </si>
  <si>
    <t>ESPR</t>
  </si>
  <si>
    <t>US5184391044</t>
  </si>
  <si>
    <t>Estee Lauder Co Inc ORDSH CL A</t>
  </si>
  <si>
    <t>https://www.moex.com/ru/marketdata/#/mode=instrument&amp;secid=EL-RM&amp;boardgroupid=1258&amp;mode_type=history&amp;date_from=2025-07-28</t>
  </si>
  <si>
    <t>https://ru.investing.com/equities/estee-lauder-historical-data</t>
  </si>
  <si>
    <t>EL</t>
  </si>
  <si>
    <t>US29786A1060</t>
  </si>
  <si>
    <t>Etsy, Inc. ORD SHS</t>
  </si>
  <si>
    <t>https://www.moex.com/ru/marketdata/#/mode=instrument&amp;secid=ETSY-RM&amp;boardgroupid=1258&amp;mode_type=history&amp;date_from=2025-07-28</t>
  </si>
  <si>
    <t>https://ru.investing.com/equities/etsy-inc-historical-data</t>
  </si>
  <si>
    <t>ETSY</t>
  </si>
  <si>
    <t>US30034W1062</t>
  </si>
  <si>
    <t>Evergy, Inc. ORD SHS</t>
  </si>
  <si>
    <t>https://www.moex.com/ru/marketdata/#/mode=instrument&amp;secid=EVRG-RM&amp;boardgroupid=1258&amp;mode_type=history&amp;date_from=2025-07-28</t>
  </si>
  <si>
    <t>https://ru.investing.com/equities/westar-energy-historical-data</t>
  </si>
  <si>
    <t>EVRG</t>
  </si>
  <si>
    <t>US30040W1080</t>
  </si>
  <si>
    <t>Eversource Energy ORD SHS</t>
  </si>
  <si>
    <t>https://www.moex.com/ru/marketdata/#/mode=instrument&amp;secid=ES-RM&amp;boardgroupid=1258&amp;mode_type=history&amp;date_from=2025-07-28</t>
  </si>
  <si>
    <t>https://ru.investing.com/equities/northeast-utilities-historical-data</t>
  </si>
  <si>
    <t>ES</t>
  </si>
  <si>
    <t>US30063P1057</t>
  </si>
  <si>
    <t>EXACT SCIENCES CORP ORDSHS</t>
  </si>
  <si>
    <t>https://www.moex.com/ru/marketdata/#/mode=instrument&amp;secid=EXAS-RM&amp;boardgroupid=1258&amp;mode_type=history&amp;date_from=2025-07-28</t>
  </si>
  <si>
    <t>https://ru.investing.com/equities/exact-sciences-co-historical-data</t>
  </si>
  <si>
    <t>EXAS</t>
  </si>
  <si>
    <t>US30161Q1040</t>
  </si>
  <si>
    <t>EXELIXIS INC ORDSHS</t>
  </si>
  <si>
    <t>https://www.moex.com/ru/marketdata/#/mode=instrument&amp;secid=EXEL-RM&amp;boardgroupid=1258&amp;mode_type=history&amp;date_from=2025-07-28</t>
  </si>
  <si>
    <t>https://ru.investing.com/equities/exelixis-inc-historical-data</t>
  </si>
  <si>
    <t>EXEL</t>
  </si>
  <si>
    <t>US30161N1019</t>
  </si>
  <si>
    <t>Exelon Corporation ORD SHS</t>
  </si>
  <si>
    <t>https://www.moex.com/ru/marketdata/#/mode=instrument&amp;secid=EXC-RM&amp;boardgroupid=1258&amp;mode_type=history&amp;date_from=2025-07-28</t>
  </si>
  <si>
    <t>https://ru.investing.com/equities/exelon-corp-historical-data</t>
  </si>
  <si>
    <t>EXC</t>
  </si>
  <si>
    <t>US30212P3038</t>
  </si>
  <si>
    <t>Expedia Group, Inc ORD SHS</t>
  </si>
  <si>
    <t>https://www.moex.com/ru/marketdata/#/mode=instrument&amp;secid=EXPE-RM&amp;boardgroupid=1258&amp;mode_type=history&amp;date_from=2025-07-28</t>
  </si>
  <si>
    <t>https://ru.investing.com/equities/expedia-historical-data</t>
  </si>
  <si>
    <t>EXPE</t>
  </si>
  <si>
    <t>US3021301094</t>
  </si>
  <si>
    <t>Expeditors Ord Shs</t>
  </si>
  <si>
    <t>https://www.moex.com/ru/marketdata/#/mode=instrument&amp;secid=EXPD-RM&amp;boardgroupid=1258&amp;mode_type=history&amp;date_from=2025-07-28</t>
  </si>
  <si>
    <t>https://ru.investing.com/equities/expeditors-intl-wash-inc-historical-data</t>
  </si>
  <si>
    <t>EXPD</t>
  </si>
  <si>
    <t>Вспомогательная транспортная деятельность</t>
  </si>
  <si>
    <t>US30231G1022</t>
  </si>
  <si>
    <t>Exxon Mobil Corporation</t>
  </si>
  <si>
    <t>https://www.moex.com/ru/marketdata/#/mode=instrument&amp;secid=XOM-RM&amp;boardgroupid=1258&amp;mode_type=history&amp;date_from=2025-04-28</t>
  </si>
  <si>
    <t>https://ru.investing.com/equities/exxon-mobil-historical-data</t>
  </si>
  <si>
    <t>XOM</t>
  </si>
  <si>
    <t>Нефтяная компания</t>
  </si>
  <si>
    <t>US3156161024</t>
  </si>
  <si>
    <t>F5, Inc.</t>
  </si>
  <si>
    <t>https://www.moex.com/ru/marketdata/#/mode=instrument&amp;secid=FFIV-RM&amp;boardgroupid=1258&amp;mode_type=history&amp;date_from=2025-07-28</t>
  </si>
  <si>
    <t>https://ru.investing.com/equities/f5-networks-inc-historical-data</t>
  </si>
  <si>
    <t>FFIV</t>
  </si>
  <si>
    <t>US3119001044</t>
  </si>
  <si>
    <t>Fastenal Company ORD SHS</t>
  </si>
  <si>
    <t>https://www.moex.com/ru/marketdata/#/mode=instrument&amp;secid=FAST-RM&amp;boardgroupid=1258&amp;mode_type=history&amp;date_from=2025-07-28</t>
  </si>
  <si>
    <t>https://ru.investing.com/equities/fastenal-co-historical-data</t>
  </si>
  <si>
    <t>FAST</t>
  </si>
  <si>
    <t>US31188V1008</t>
  </si>
  <si>
    <t>Fastly Ord Shs Class A</t>
  </si>
  <si>
    <t>https://www.moex.com/ru/marketdata/#/mode=instrument&amp;secid=FSLY-RM&amp;boardgroupid=1258&amp;mode_type=history&amp;date_from=2025-07-28</t>
  </si>
  <si>
    <t>https://ru.investing.com/equities/fastly-inc-historical-data</t>
  </si>
  <si>
    <t>FSLY</t>
  </si>
  <si>
    <t>US31428X1063</t>
  </si>
  <si>
    <t>FedEx Corporation</t>
  </si>
  <si>
    <t>https://www.moex.com/ru/marketdata/#/mode=instrument&amp;secid=FDX-RM&amp;boardgroupid=1258&amp;mode_type=history&amp;date_from=2025-04-28</t>
  </si>
  <si>
    <t>https://ru.investing.com/equities/fedex-corp-historical-data</t>
  </si>
  <si>
    <t>FDX</t>
  </si>
  <si>
    <t>Почтовая и курьерская служба</t>
  </si>
  <si>
    <t>US31572Q8087</t>
  </si>
  <si>
    <t>FibroGen, Inc. ORD SHS</t>
  </si>
  <si>
    <t>https://www.moex.com/ru/marketdata/#/mode=instrument&amp;secid=FGEN-RM&amp;boardgroupid=1258&amp;mode_type=history&amp;date_from=2025-07-28</t>
  </si>
  <si>
    <t>https://ru.investing.com/equities/fibrogen-inc-historical-data</t>
  </si>
  <si>
    <t>FGEN</t>
  </si>
  <si>
    <t>US31620R3030</t>
  </si>
  <si>
    <t>Fidelity National Fin ORD SHS</t>
  </si>
  <si>
    <t>https://www.moex.com/ru/marketdata/#/mode=instrument&amp;secid=FNF-RM&amp;boardgroupid=1258&amp;mode_type=history&amp;date_from=2025-07-28</t>
  </si>
  <si>
    <t>https://ru.investing.com/equities/fidelity-national-financial-historical-data</t>
  </si>
  <si>
    <t>FNF</t>
  </si>
  <si>
    <t>US31620M1062</t>
  </si>
  <si>
    <t>Fidelity NI Svcs, Inc. ORD SHS</t>
  </si>
  <si>
    <t>https://www.moex.com/ru/marketdata/#/mode=instrument&amp;secid=FIS-RM&amp;boardgroupid=1258&amp;mode_type=history&amp;date_from=2025-07-28</t>
  </si>
  <si>
    <t>https://ru.investing.com/equities/fidelity-natl-in-historical-data</t>
  </si>
  <si>
    <t>FIS</t>
  </si>
  <si>
    <t>US3167731005</t>
  </si>
  <si>
    <t>Fifth Third Bancorp ORD SHS</t>
  </si>
  <si>
    <t>https://www.moex.com/ru/marketdata/#/mode=instrument&amp;secid=FITB-RM&amp;boardgroupid=1258&amp;mode_type=history&amp;date_from=2025-07-28</t>
  </si>
  <si>
    <t>https://ru.investing.com/equities/fifth-third-bk-historical-data</t>
  </si>
  <si>
    <t>FITB</t>
  </si>
  <si>
    <t>US3364331070</t>
  </si>
  <si>
    <t>First Solar, Inc.</t>
  </si>
  <si>
    <t>https://www.moex.com/ru/marketdata/#/mode=instrument&amp;secid=FSLR-RM&amp;boardgroupid=1258&amp;mode_type=history&amp;date_from=2025-04-28</t>
  </si>
  <si>
    <t>https://ru.investing.com/equities/first-solar-inc-historical-data</t>
  </si>
  <si>
    <t>FSLR</t>
  </si>
  <si>
    <t>Произвобство оборудования для энергетики, солнечные батареи</t>
  </si>
  <si>
    <t>US3379321074</t>
  </si>
  <si>
    <t>FirstEnergy Corp. ORD SHS</t>
  </si>
  <si>
    <t>https://www.moex.com/ru/marketdata/#/mode=instrument&amp;secid=FE-RM&amp;boardgroupid=1258&amp;mode_type=history&amp;date_from=2025-07-28</t>
  </si>
  <si>
    <t>https://ru.investing.com/equities/first-energy-historical-data</t>
  </si>
  <si>
    <t>FE</t>
  </si>
  <si>
    <t>US3377381088</t>
  </si>
  <si>
    <t>Fiserv Inc</t>
  </si>
  <si>
    <t>https://www.moex.com/ru/marketdata/#/mode=instrument&amp;secid=FI-RM&amp;boardgroupid=1258&amp;mode_type=history&amp;date_from=2025-04-28</t>
  </si>
  <si>
    <t>https://ru.investing.com/equities/fiserv-inc-historical-data</t>
  </si>
  <si>
    <t>FI</t>
  </si>
  <si>
    <t>US3383071012</t>
  </si>
  <si>
    <t>Five9, Inc. ORD SHS</t>
  </si>
  <si>
    <t>https://www.moex.com/ru/marketdata/#/mode=instrument&amp;secid=FIVN-RM&amp;boardgroupid=1258&amp;mode_type=history&amp;date_from=2025-07-28</t>
  </si>
  <si>
    <t>https://ru.investing.com/equities/five9-inc-historical-data</t>
  </si>
  <si>
    <t>FIVN</t>
  </si>
  <si>
    <t>US3390411052</t>
  </si>
  <si>
    <t>FleetCor Technol Inc ORD SHS</t>
  </si>
  <si>
    <t>https://www.moex.com/ru/marketdata/#/mode=instrument&amp;secid=FLT-RM&amp;boardgroupid=1258&amp;mode_type=history&amp;date_from=2025-07-28</t>
  </si>
  <si>
    <t>https://ru.investing.com/equities/fleetcor-tech-historical-data?cid=1183295</t>
  </si>
  <si>
    <t>FLT</t>
  </si>
  <si>
    <t>US3434981011</t>
  </si>
  <si>
    <t>Flowers Foods, Inc. ORD SHS</t>
  </si>
  <si>
    <t>https://www.moex.com/ru/marketdata/#/mode=instrument&amp;secid=FLO-RM&amp;boardgroupid=1258&amp;mode_type=history&amp;date_from=2025-07-28</t>
  </si>
  <si>
    <t>https://ru.investing.com/equities/flowers-foods-historical-data</t>
  </si>
  <si>
    <t>FLO</t>
  </si>
  <si>
    <t>US3434121022</t>
  </si>
  <si>
    <t>Fluor CorporationORD SHS</t>
  </si>
  <si>
    <t>https://www.moex.com/ru/marketdata/#/mode=instrument&amp;secid=FLR-RM&amp;boardgroupid=1258&amp;mode_type=history&amp;date_from=2025-07-28</t>
  </si>
  <si>
    <t>https://ru.investing.com/equities/fluor-corp-historical-data</t>
  </si>
  <si>
    <t>FLR</t>
  </si>
  <si>
    <t>Строительство сооружений</t>
  </si>
  <si>
    <t>US3024913036</t>
  </si>
  <si>
    <t>FMC Corporation ORD SHS</t>
  </si>
  <si>
    <t>https://www.moex.com/ru/marketdata/#/mode=instrument&amp;secid=FMC-RM&amp;boardgroupid=1258&amp;mode_type=history&amp;date_from=2025-07-28</t>
  </si>
  <si>
    <t>https://ru.investing.com/equities/fmc-corp-historical-data</t>
  </si>
  <si>
    <t>FMC</t>
  </si>
  <si>
    <t>US3448491049</t>
  </si>
  <si>
    <t>Foot Locker, Inc. ORD SHS</t>
  </si>
  <si>
    <t>https://www.moex.com/ru/marketdata/#/mode=instrument&amp;secid=FL-RM&amp;boardgroupid=1258&amp;mode_type=history&amp;date_from=2025-07-28</t>
  </si>
  <si>
    <t>https://ru.investing.com/equities/foot-locker-historical-data</t>
  </si>
  <si>
    <t>FL</t>
  </si>
  <si>
    <t>US3453708600</t>
  </si>
  <si>
    <t>Ford Motor Company</t>
  </si>
  <si>
    <t>https://www.moex.com/ru/marketdata/#/mode=instrument&amp;secid=F-RM&amp;boardgroupid=1258&amp;mode_type=history&amp;date_from=2025-07-28</t>
  </si>
  <si>
    <t>https://ru.investing.com/equities/ford-motor-co-historical-data</t>
  </si>
  <si>
    <t>F</t>
  </si>
  <si>
    <t>US34959E1091</t>
  </si>
  <si>
    <t>Fortinet, Inc. ORD SHS</t>
  </si>
  <si>
    <t>https://www.moex.com/ru/marketdata/#/mode=instrument&amp;secid=FTNT-RM&amp;boardgroupid=1258&amp;mode_type=history&amp;date_from=2025-07-28</t>
  </si>
  <si>
    <t>https://ru.investing.com/equities/fortinet-historical-data</t>
  </si>
  <si>
    <t>FTNT</t>
  </si>
  <si>
    <t>US34959J1088</t>
  </si>
  <si>
    <t>Fortive Corporation ORD SHS</t>
  </si>
  <si>
    <t>https://www.moex.com/ru/marketdata/#/mode=instrument&amp;secid=FTV-RM&amp;boardgroupid=50&amp;mode_type=history&amp;date_from=2025-07-28</t>
  </si>
  <si>
    <t>https://ru.investing.com/equities/fortive-corp-historical-data</t>
  </si>
  <si>
    <t>FTV</t>
  </si>
  <si>
    <t>US34964C1062</t>
  </si>
  <si>
    <t>Fortune Brands Innovations</t>
  </si>
  <si>
    <t>https://www.moex.com/ru/marketdata/#/mode=instrument&amp;secid=FBIN-RM&amp;boardgroupid=1258&amp;mode_type=history&amp;date_from=2025-07-28</t>
  </si>
  <si>
    <t>https://ru.investing.com/equities/fortune-brands-home---security-historical-data</t>
  </si>
  <si>
    <t>FBIN</t>
  </si>
  <si>
    <t>US35137L2043</t>
  </si>
  <si>
    <t>Fox Corporation</t>
  </si>
  <si>
    <t>https://www.moex.com/ru/marketdata/#/mode=instrument&amp;secid=FOX-RM&amp;boardgroupid=1258&amp;mode_type=history&amp;date_from=2025-07-28</t>
  </si>
  <si>
    <t>https://ru.investing.com/equities/fox-corp-b-historical-data</t>
  </si>
  <si>
    <t>FOX</t>
  </si>
  <si>
    <t>US3546131018</t>
  </si>
  <si>
    <t>Franklin Resources Ord Shs</t>
  </si>
  <si>
    <t>https://www.moex.com/ru/marketdata/#/mode=instrument&amp;secid=BEN-RM&amp;boardgroupid=1258&amp;mode_type=history&amp;date_from=2025-07-28</t>
  </si>
  <si>
    <t>https://ru.investing.com/equities/franklin-res-historical-data</t>
  </si>
  <si>
    <t>BEN</t>
  </si>
  <si>
    <t>US3563901046</t>
  </si>
  <si>
    <t>Freedom Holding Corp. ORD SHS</t>
  </si>
  <si>
    <t>https://www.moex.com/ru/marketdata/#/mode=instrument&amp;secid=FRHC-RM&amp;boardgroupid=1258&amp;mode_type=history&amp;date_from=2025-07-28</t>
  </si>
  <si>
    <t>https://ru.investing.com/equities/freedom-historical-data</t>
  </si>
  <si>
    <t>FRHC</t>
  </si>
  <si>
    <t>US35671D8570</t>
  </si>
  <si>
    <t>FREEPORT-MCMORAN</t>
  </si>
  <si>
    <t>https://www.moex.com/ru/marketdata/#/mode=instrument&amp;secid=FCX-RM&amp;boardgroupid=1258&amp;mode_type=history&amp;date_from=2025-04-28</t>
  </si>
  <si>
    <t>https://ru.investing.com/equities/freeport-mcm-historical-data</t>
  </si>
  <si>
    <t>FCX</t>
  </si>
  <si>
    <t>Металлургическая компания, цветная</t>
  </si>
  <si>
    <t>DE0005785802</t>
  </si>
  <si>
    <t>Fresenius Medical Care AG</t>
  </si>
  <si>
    <t>FME</t>
  </si>
  <si>
    <t>US3610081057</t>
  </si>
  <si>
    <t>Funko Ord Shs Class A</t>
  </si>
  <si>
    <t>https://www.moex.com/ru/marketdata/#/mode=instrument&amp;secid=FNKO-RM&amp;boardgroupid=1258&amp;mode_type=history&amp;date_from=2025-07-28</t>
  </si>
  <si>
    <t>https://ru.investing.com/equities/funko-inc-historical-data</t>
  </si>
  <si>
    <t>FNKO</t>
  </si>
  <si>
    <t>Товары длительного пользования</t>
  </si>
  <si>
    <t>US3621LQ1099</t>
  </si>
  <si>
    <t>G1 Therapeutics, Inc.</t>
  </si>
  <si>
    <t>https://www.moex.com/ru/marketdata/#/mode=instrument&amp;secid=GTHX-RM&amp;boardgroupid=1258&amp;mode_type=history&amp;date_from=2025-07-28</t>
  </si>
  <si>
    <t>https://ru.investing.com/equities/g1-therapeutics-inc-historical-data</t>
  </si>
  <si>
    <t>GTHX</t>
  </si>
  <si>
    <t>US3647601083</t>
  </si>
  <si>
    <t>Gap</t>
  </si>
  <si>
    <t>https://www.moex.com/ru/marketdata/#/mode=instrument&amp;secid=GPS-RM&amp;boardgroupid=1258&amp;mode_type=history&amp;date_from=2025-04-28</t>
  </si>
  <si>
    <t>https://ru.investing.com/equities/gap.inc-historical-data</t>
  </si>
  <si>
    <t>GPS</t>
  </si>
  <si>
    <t>розничная торговля, одежда</t>
  </si>
  <si>
    <t>US3666511072</t>
  </si>
  <si>
    <t>GARTNER INC ORDSHS</t>
  </si>
  <si>
    <t>https://www.moex.com/ru/marketdata/#/mode=instrument&amp;secid=IT-RM&amp;boardgroupid=1258&amp;mode_type=history&amp;date_from=2025-07-28</t>
  </si>
  <si>
    <t>https://ru.investing.com/equities/gartner-historical-data</t>
  </si>
  <si>
    <t>IT</t>
  </si>
  <si>
    <t>US36266G1076</t>
  </si>
  <si>
    <t>GE HealthCare</t>
  </si>
  <si>
    <t>GEHC</t>
  </si>
  <si>
    <t>Управление парком медицинского оборудования</t>
  </si>
  <si>
    <t>US6687711084</t>
  </si>
  <si>
    <t>Gen Digital Inc.</t>
  </si>
  <si>
    <t>https://www.moex.com/ru/marketdata/#/mode=instrument&amp;secid=GEN-RM&amp;boardgroupid=1258&amp;mode_type=history&amp;date_from=2025-07-28</t>
  </si>
  <si>
    <t>https://ru.investing.com/equities/symantec-corp-historical-data</t>
  </si>
  <si>
    <t>GEN</t>
  </si>
  <si>
    <t>US3687361044</t>
  </si>
  <si>
    <t>Generac Holdings Inc. ORD SHS</t>
  </si>
  <si>
    <t>https://www.moex.com/ru/marketdata/#/mode=instrument&amp;secid=GNRC-RM&amp;boardgroupid=1258&amp;mode_type=history&amp;date_from=2025-07-28</t>
  </si>
  <si>
    <t>https://ru.investing.com/equities/generac-holdings-historical-data</t>
  </si>
  <si>
    <t>GNRC</t>
  </si>
  <si>
    <t>US3696043013</t>
  </si>
  <si>
    <t>General Electric</t>
  </si>
  <si>
    <t>GE</t>
  </si>
  <si>
    <t>US3703341046</t>
  </si>
  <si>
    <t>General Mills, Inc. ORD SHS</t>
  </si>
  <si>
    <t>https://www.moex.com/ru/marketdata/#/mode=instrument&amp;secid=GIS-RM&amp;boardgroupid=1258&amp;mode_type=history&amp;date_from=2025-07-28</t>
  </si>
  <si>
    <t>https://ru.investing.com/equities/general-mills-historical-data</t>
  </si>
  <si>
    <t>GIS</t>
  </si>
  <si>
    <t>US37045V1008</t>
  </si>
  <si>
    <t>General Motors</t>
  </si>
  <si>
    <t>GM</t>
  </si>
  <si>
    <t xml:space="preserve">Автомобилестроение  </t>
  </si>
  <si>
    <t>US3719011096</t>
  </si>
  <si>
    <t>Gentex Corporation ORD SHS</t>
  </si>
  <si>
    <t>https://www.moex.com/ru/marketdata/#/mode=instrument&amp;secid=GNTX-RM&amp;boardgroupid=1258&amp;mode_type=history&amp;date_from=2025-07-28</t>
  </si>
  <si>
    <t>https://ru.investing.com/equities/gentex-corp-historical-data</t>
  </si>
  <si>
    <t>GNTX</t>
  </si>
  <si>
    <t>US3724601055</t>
  </si>
  <si>
    <t>Genuine Parts Ord Shs</t>
  </si>
  <si>
    <t>https://www.moex.com/ru/marketdata/#/mode=instrument&amp;secid=GPC-RM&amp;boardgroupid=1258&amp;mode_type=history&amp;date_from=2025-07-28</t>
  </si>
  <si>
    <t>https://ru.investing.com/equities/genuine-parts-co-historical-data</t>
  </si>
  <si>
    <t>GPC</t>
  </si>
  <si>
    <t>US3743964062</t>
  </si>
  <si>
    <t>Gevo, Inc. ORD SHS</t>
  </si>
  <si>
    <t>https://www.moex.com/ru/marketdata/#/mode=instrument&amp;secid=GEVO-RM&amp;boardgroupid=1258&amp;mode_type=history&amp;date_from=2025-07-28</t>
  </si>
  <si>
    <t>https://ru.investing.com/equities/gevo-historical-data</t>
  </si>
  <si>
    <t>GEVO</t>
  </si>
  <si>
    <t>US3755581036</t>
  </si>
  <si>
    <t>GILEAD SCIENCES</t>
  </si>
  <si>
    <t>https://www.moex.com/ru/marketdata/#/mode=instrument&amp;secid=GILD-RM&amp;boardgroupid=1258&amp;mode_type=history&amp;date_from=2025-04-28</t>
  </si>
  <si>
    <t>https://ru.investing.com/equities/gilead-sciences-inc-historical-data</t>
  </si>
  <si>
    <t>GILD</t>
  </si>
  <si>
    <t>US37940X1028</t>
  </si>
  <si>
    <t>Global Payments Inc. ORD SHS</t>
  </si>
  <si>
    <t>https://www.moex.com/ru/marketdata/#/mode=instrument&amp;secid=GPN-RM&amp;boardgroupid=1258&amp;mode_type=history&amp;date_from=2025-07-28</t>
  </si>
  <si>
    <t>https://ru.investing.com/equities/global-payments-historical-data</t>
  </si>
  <si>
    <t>GPN</t>
  </si>
  <si>
    <t>US3802371076</t>
  </si>
  <si>
    <t>GoDaddy Inc. ORD SHS CL A</t>
  </si>
  <si>
    <t>https://www.moex.com/ru/marketdata/#/mode=instrument&amp;secid=GDDY-RM&amp;boardgroupid=1258&amp;mode_type=history&amp;date_from=2025-07-28</t>
  </si>
  <si>
    <t>https://ru.investing.com/equities/godaddy-inc-historical-data</t>
  </si>
  <si>
    <t>GDDY</t>
  </si>
  <si>
    <t>US38246G1085</t>
  </si>
  <si>
    <t>GoodRx Holdings Inc ORD SHS A</t>
  </si>
  <si>
    <t>https://www.moex.com/ru/marketdata/#/mode=instrument&amp;secid=GDRX-RM&amp;boardgroupid=1258&amp;mode_type=history&amp;date_from=2025-07-28</t>
  </si>
  <si>
    <t>https://ru.investing.com/equities/goodrx-holdings-inc-historical-data</t>
  </si>
  <si>
    <t>GDRX</t>
  </si>
  <si>
    <t>US3825501014</t>
  </si>
  <si>
    <t>Goodyear Tire &amp; Rubber Company</t>
  </si>
  <si>
    <t>https://www.moex.com/ru/marketdata/#/mode=instrument&amp;secid=GT-RM&amp;boardgroupid=1258&amp;mode_type=history&amp;date_from=2025-07-28</t>
  </si>
  <si>
    <t>https://ru.investing.com/equities/goodyear-tire-historical-data</t>
  </si>
  <si>
    <t>GT</t>
  </si>
  <si>
    <t>US0936711052</t>
  </si>
  <si>
    <t>H&amp;R Block, Inc. ORD SHS</t>
  </si>
  <si>
    <t>https://www.moex.com/ru/marketdata/#/mode=instrument&amp;secid=HRB-RM&amp;boardgroupid=1258&amp;mode_type=history&amp;date_from=2025-07-28</t>
  </si>
  <si>
    <t>https://ru.investing.com/equities/h---r-block-inc-historical-data</t>
  </si>
  <si>
    <t>HRB</t>
  </si>
  <si>
    <t>US4062161017</t>
  </si>
  <si>
    <t>Halliburton Company</t>
  </si>
  <si>
    <t>https://www.moex.com/ru/marketdata/#/mode=instrument&amp;secid=HAL-RM&amp;boardgroupid=1258&amp;mode_type=history&amp;date_from=2025-04-28</t>
  </si>
  <si>
    <t>https://ru.investing.com/equities/halliburton-co-historical-data</t>
  </si>
  <si>
    <t>HAL</t>
  </si>
  <si>
    <t>US4103451021</t>
  </si>
  <si>
    <t>Hanesbrands Inc. ORD SHS</t>
  </si>
  <si>
    <t>https://www.moex.com/ru/marketdata/#/mode=instrument&amp;secid=HBI-RM&amp;boardgroupid=1258&amp;mode_type=history&amp;date_from=2025-07-28</t>
  </si>
  <si>
    <t>https://ru.investing.com/equities/hanesbrands-historical-data</t>
  </si>
  <si>
    <t>HBI</t>
  </si>
  <si>
    <t>Изготовление одежды и аксессуаров</t>
  </si>
  <si>
    <t>US4128221086</t>
  </si>
  <si>
    <t>Harley-DavidsonORD SHS</t>
  </si>
  <si>
    <t>https://www.moex.com/ru/marketdata/#/mode=instrument&amp;secid=HOG-RM&amp;boardgroupid=1258&amp;mode_type=history&amp;date_from=2025-07-28</t>
  </si>
  <si>
    <t>https://ru.investing.com/equities/harley-davidson-historical-data</t>
  </si>
  <si>
    <t>HOG</t>
  </si>
  <si>
    <t>US4180561072</t>
  </si>
  <si>
    <t>Hasbro, Inc.ORD SHS</t>
  </si>
  <si>
    <t>https://www.moex.com/ru/marketdata/#/mode=instrument&amp;secid=HAS-RM&amp;boardgroupid=1258&amp;mode_type=history&amp;date_from=2025-07-28</t>
  </si>
  <si>
    <t>https://ru.investing.com/equities/hasbro-inc-historical-data</t>
  </si>
  <si>
    <t>HAS</t>
  </si>
  <si>
    <t>US40412C1018</t>
  </si>
  <si>
    <t>HCA HOLDINGS INC ORDSHS</t>
  </si>
  <si>
    <t>https://www.moex.com/ru/marketdata/#/mode=instrument&amp;secid=HCA-RM&amp;boardgroupid=1258&amp;mode_type=history&amp;date_from=2025-07-28</t>
  </si>
  <si>
    <t>https://ru.investing.com/equities/hca-holdings-inc-historical-data</t>
  </si>
  <si>
    <t>HCA</t>
  </si>
  <si>
    <t>US8064071025</t>
  </si>
  <si>
    <t>Henry Schein, Inc. ORD SHS</t>
  </si>
  <si>
    <t>https://www.moex.com/ru/marketdata/#/mode=instrument&amp;secid=HSIC-RM&amp;boardgroupid=1258&amp;mode_type=history&amp;date_from=2025-07-28</t>
  </si>
  <si>
    <t>https://ru.investing.com/equities/henry-schein-historical-data</t>
  </si>
  <si>
    <t>HSIC</t>
  </si>
  <si>
    <t>US4277461020</t>
  </si>
  <si>
    <t>Heron Therapeutics Ord Shs</t>
  </si>
  <si>
    <t>https://www.moex.com/ru/marketdata/#/mode=instrument&amp;secid=HRTX-RM&amp;boardgroupid=1258&amp;mode_type=history&amp;date_from=2025-07-28</t>
  </si>
  <si>
    <t>https://ru.investing.com/equities/heron-therapeuti-historical-data</t>
  </si>
  <si>
    <t>HRTX</t>
  </si>
  <si>
    <t>US42809H1077</t>
  </si>
  <si>
    <t>Hess Corporation ORD SHS</t>
  </si>
  <si>
    <t>https://www.moex.com/ru/marketdata/#/mode=instrument&amp;secid=HES-RM&amp;boardgroupid=1258&amp;mode_type=history&amp;date_from=2025-07-28</t>
  </si>
  <si>
    <t>https://ru.investing.com/equities/hess-corp-historical-data</t>
  </si>
  <si>
    <t>HES</t>
  </si>
  <si>
    <t>US42824C1099</t>
  </si>
  <si>
    <t>Hewlett Packard Enterprise (HPE)</t>
  </si>
  <si>
    <t>https://www.moex.com/ru/marketdata/#/mode=instrument&amp;secid=HPE-RM&amp;boardgroupid=1258&amp;mode_type=history&amp;date_from=2025-07-28</t>
  </si>
  <si>
    <t>https://ru.investing.com/equities/hewlett-packard-enterprise-co-historical-data</t>
  </si>
  <si>
    <t>HPE</t>
  </si>
  <si>
    <t>US4039491000</t>
  </si>
  <si>
    <t>HF Sinclair</t>
  </si>
  <si>
    <t>DINO</t>
  </si>
  <si>
    <t>нефтеперерабатывающая промышленность</t>
  </si>
  <si>
    <t>US43300A2033</t>
  </si>
  <si>
    <t>Hilton Worldwide Hold ORD SHS</t>
  </si>
  <si>
    <t>https://www.moex.com/ru/marketdata/#/mode=instrument&amp;secid=HLT-RM&amp;boardgroupid=1258&amp;mode_type=history&amp;date_from=2025-07-28</t>
  </si>
  <si>
    <t>https://ru.investing.com/equities/hilton-worldwide-historical-data</t>
  </si>
  <si>
    <t>HLT</t>
  </si>
  <si>
    <t>US4361061082</t>
  </si>
  <si>
    <t>HollyFrontier Corp ORD SHS</t>
  </si>
  <si>
    <t>https://www.moex.com/ru/marketdata/#/mode=instrument&amp;secid=HFC-RM&amp;boardgroupid=1258&amp;mode_type=history&amp;date_from=2025-07-28</t>
  </si>
  <si>
    <t>https://ru.investing.com/equities/hollyfrontier-co-historical-data</t>
  </si>
  <si>
    <t>HFC</t>
  </si>
  <si>
    <t>US4364401012</t>
  </si>
  <si>
    <t>Hologic, Inc. ORD SHS</t>
  </si>
  <si>
    <t>https://www.moex.com/ru/marketdata/#/mode=instrument&amp;secid=HOLX-RM&amp;boardgroupid=1258&amp;mode_type=history&amp;date_from=2025-07-28</t>
  </si>
  <si>
    <t>https://ru.investing.com/equities/hologic-inc-historical-data</t>
  </si>
  <si>
    <t>HOLX</t>
  </si>
  <si>
    <t>US4404521001</t>
  </si>
  <si>
    <t>Hormel Foods Ord Shs</t>
  </si>
  <si>
    <t>https://www.moex.com/ru/marketdata/#/mode=instrument&amp;secid=HRL-RM&amp;boardgroupid=1258&amp;mode_type=history&amp;date_from=2025-07-28</t>
  </si>
  <si>
    <t>https://ru.investing.com/equities/hormel-foods-corp-historical-data</t>
  </si>
  <si>
    <t>HRL</t>
  </si>
  <si>
    <t>US44109J1060</t>
  </si>
  <si>
    <t>Hostess Brand Inc ORD SHS A</t>
  </si>
  <si>
    <t>https://www.moex.com/ru/marketdata/#/mode=instrument&amp;secid=TWNK-RM&amp;boardgroupid=1258&amp;mode_type=history&amp;date_from=2025-07-28</t>
  </si>
  <si>
    <t>https://ru.investing.com/equities/gores-holdings-inc-historical-data</t>
  </si>
  <si>
    <t>TWNK</t>
  </si>
  <si>
    <t>US4432011082</t>
  </si>
  <si>
    <t>Howmet Aerospace Inc. ORD SHS</t>
  </si>
  <si>
    <t>https://www.moex.com/ru/marketdata/#/mode=instrument&amp;secid=HWM-RM&amp;boardgroupid=1258&amp;mode_type=history&amp;date_from=2025-07-28</t>
  </si>
  <si>
    <t>https://ru.investing.com/equities/howmet-aerospace-inc-historical-data</t>
  </si>
  <si>
    <t>HWM</t>
  </si>
  <si>
    <t>Производство летательных аппаратов и вооружения</t>
  </si>
  <si>
    <t>US40434L1052</t>
  </si>
  <si>
    <t>HP Inc.</t>
  </si>
  <si>
    <t>https://www.moex.com/ru/marketdata/#/mode=instrument&amp;secid=HPQ-RM&amp;boardgroupid=1258&amp;mode_type=history&amp;date_from=2025-07-28</t>
  </si>
  <si>
    <t>https://ru.investing.com/equities/hewlett-pack-historical-data</t>
  </si>
  <si>
    <t>HPQ</t>
  </si>
  <si>
    <t>US4448591028</t>
  </si>
  <si>
    <t>Humana Inc.</t>
  </si>
  <si>
    <t>https://www.moex.com/ru/marketdata/#/mode=instrument&amp;secid=HUM-RM&amp;boardgroupid=1258&amp;mode_type=history&amp;date_from=2025-07-28</t>
  </si>
  <si>
    <t>https://ru.investing.com/equities/humana-inc-historical-data</t>
  </si>
  <si>
    <t>HUM</t>
  </si>
  <si>
    <t>US4461501045</t>
  </si>
  <si>
    <t>Huntington Bancshares Ord Shs</t>
  </si>
  <si>
    <t>https://www.moex.com/ru/marketdata/#/mode=instrument&amp;secid=HBAN-RM&amp;boardgroupid=1258&amp;mode_type=history&amp;date_from=2025-07-28</t>
  </si>
  <si>
    <t>https://ru.investing.com/equities/huntgtn-bkshr-historical-data</t>
  </si>
  <si>
    <t>HBAN</t>
  </si>
  <si>
    <t>US4491091074</t>
  </si>
  <si>
    <t>Hyliion Holdings Corp. ORD SHS</t>
  </si>
  <si>
    <t>https://www.moex.com/ru/marketdata/#/mode=instrument&amp;secid=HYLN-RM&amp;boardgroupid=1258&amp;mode_type=history&amp;date_from=2025-07-28</t>
  </si>
  <si>
    <t>https://ru.investing.com/equities/tortoise-acquisition-corp-historical-data</t>
  </si>
  <si>
    <t>HYLN</t>
  </si>
  <si>
    <t>US4592001014</t>
  </si>
  <si>
    <t>IBM</t>
  </si>
  <si>
    <t>https://www.moex.com/ru/marketdata/#/mode=instrument&amp;secid=IBM-RM&amp;boardgroupid=1258&amp;mode_type=history&amp;date_from=2025-04-28</t>
  </si>
  <si>
    <t>https://ru.investing.com/equities/ibm-historical-data</t>
  </si>
  <si>
    <t>US45104G1040</t>
  </si>
  <si>
    <t>ICICI Bank Limited</t>
  </si>
  <si>
    <t>ICBK</t>
  </si>
  <si>
    <t>Индия</t>
  </si>
  <si>
    <t>US45167R1041</t>
  </si>
  <si>
    <t>IDEX Corporation ORD SHS</t>
  </si>
  <si>
    <t>https://www.moex.com/ru/marketdata/#/mode=instrument&amp;secid=IEX-RM&amp;boardgroupid=1258&amp;mode_type=history&amp;date_from=2025-07-28</t>
  </si>
  <si>
    <t>https://ru.investing.com/equities/idex-historical-data</t>
  </si>
  <si>
    <t>IEX</t>
  </si>
  <si>
    <t>US45168D1046</t>
  </si>
  <si>
    <t>IDEXX LABORATORIES INC ORDSHS</t>
  </si>
  <si>
    <t>https://www.moex.com/ru/marketdata/#/mode=instrument&amp;secid=IDXX-RM&amp;boardgroupid=1258&amp;mode_type=history&amp;date_from=2025-07-28</t>
  </si>
  <si>
    <t>https://ru.investing.com/equities/idexx-laboratorie-historical-data</t>
  </si>
  <si>
    <t>IDXX</t>
  </si>
  <si>
    <t>US4523081093</t>
  </si>
  <si>
    <t>Illinois Tool Ord Shs</t>
  </si>
  <si>
    <t>https://www.moex.com/ru/marketdata/#/mode=instrument&amp;secid=ITW-RM&amp;boardgroupid=1258&amp;mode_type=history&amp;date_from=2025-07-28</t>
  </si>
  <si>
    <t>https://ru.investing.com/equities/illinois-tool-wk-r-historical-data</t>
  </si>
  <si>
    <t>ITW</t>
  </si>
  <si>
    <t>US4523271090</t>
  </si>
  <si>
    <t>Illumina, Inc.</t>
  </si>
  <si>
    <t>https://www.moex.com/ru/marketdata/#/mode=instrument&amp;secid=ILMN-RM&amp;boardgroupid=1258&amp;mode_type=history&amp;date_from=2025-07-28</t>
  </si>
  <si>
    <t>https://ru.investing.com/equities/illumina,-inc.-historical-data</t>
  </si>
  <si>
    <t>ILMN</t>
  </si>
  <si>
    <t>US45337C1027</t>
  </si>
  <si>
    <t>Incyte Corporation</t>
  </si>
  <si>
    <t>https://www.moex.com/ru/marketdata/#/mode=instrument&amp;secid=INCY-RM&amp;boardgroupid=1258&amp;mode_type=history&amp;date_from=2025-07-28</t>
  </si>
  <si>
    <t>https://ru.investing.com/equities/incyte-corp-historical-data</t>
  </si>
  <si>
    <t>INCY</t>
  </si>
  <si>
    <t>DE0006231004</t>
  </si>
  <si>
    <t>Infineon Technologies AG</t>
  </si>
  <si>
    <t>IFX</t>
  </si>
  <si>
    <t xml:space="preserve">Микроэлектроника. Полупроводники </t>
  </si>
  <si>
    <t>US45687V1061</t>
  </si>
  <si>
    <t>Ingersoll Rand Inc. ORD SHS</t>
  </si>
  <si>
    <t>https://www.moex.com/ru/marketdata/#/mode=instrument&amp;secid=IR-RM&amp;boardgroupid=1258&amp;mode_type=history&amp;date_from=2025-07-28</t>
  </si>
  <si>
    <t>https://ru.investing.com/equities/ingersoll-rand-historical-data</t>
  </si>
  <si>
    <t>IR</t>
  </si>
  <si>
    <t>US45782B3024</t>
  </si>
  <si>
    <t>Inseego Corp. ORD SHS</t>
  </si>
  <si>
    <t>https://www.moex.com/ru/marketdata/#/mode=instrument&amp;secid=INSG-RM&amp;boardgroupid=1258&amp;mode_type=history&amp;date_from=2025-07-28</t>
  </si>
  <si>
    <t>https://ru.investing.com/equities/novatel-wireless-historical-data</t>
  </si>
  <si>
    <t>INSG</t>
  </si>
  <si>
    <t>US4581401001</t>
  </si>
  <si>
    <t xml:space="preserve">Intel </t>
  </si>
  <si>
    <t>https://www.moex.com/ru/marketdata/#/mode=instrument&amp;secid=INTC-RM&amp;boardgroupid=1258&amp;mode_type=history&amp;date_from=2025-04-28</t>
  </si>
  <si>
    <t>https://ru.investing.com/equities/intel-corp-historical-data</t>
  </si>
  <si>
    <t>INTC</t>
  </si>
  <si>
    <t xml:space="preserve">IT-компания по подготовке налоговых деклараций, финансовых продуктов </t>
  </si>
  <si>
    <t>US45826J1051</t>
  </si>
  <si>
    <t>Intellia Therapeut Inc ORD SHS</t>
  </si>
  <si>
    <t>https://www.moex.com/ru/marketdata/#/mode=instrument&amp;secid=NTLA-RM&amp;boardgroupid=1258&amp;mode_type=history&amp;date_from=2025-07-28</t>
  </si>
  <si>
    <t>https://ru.investing.com/equities/intellia-therapeutics-inc-historical-data</t>
  </si>
  <si>
    <t>NTLA</t>
  </si>
  <si>
    <t>US4595061015</t>
  </si>
  <si>
    <t>Inter Flav&amp;Frag Inc ORD SHS</t>
  </si>
  <si>
    <t>https://www.moex.com/ru/marketdata/#/mode=instrument&amp;secid=IFF-RM&amp;boardgroupid=1258&amp;mode_type=history&amp;date_from=2025-07-28</t>
  </si>
  <si>
    <t>https://ru.investing.com/equities/intl-flav---frag-historical-data</t>
  </si>
  <si>
    <t>IFF</t>
  </si>
  <si>
    <t>US45845P1084</t>
  </si>
  <si>
    <t>Intercept</t>
  </si>
  <si>
    <t>ICPT</t>
  </si>
  <si>
    <t>Биотехнологии и медицинские исследования</t>
  </si>
  <si>
    <t>US45866F1049</t>
  </si>
  <si>
    <t>Intercontinental Exchan ORDSHS</t>
  </si>
  <si>
    <t>https://www.moex.com/ru/marketdata/#/mode=instrument&amp;secid=ICE-RM&amp;boardgroupid=1258&amp;mode_type=history&amp;date_from=2025-07-28</t>
  </si>
  <si>
    <t>https://ru.investing.com/equities/intercontintlex-historical-data</t>
  </si>
  <si>
    <t>ICE</t>
  </si>
  <si>
    <t>US4601461035</t>
  </si>
  <si>
    <t>International Paper Co ORD SHS</t>
  </si>
  <si>
    <t>https://www.moex.com/ru/marketdata/#/mode=instrument&amp;secid=IP-RM&amp;boardgroupid=1258&amp;mode_type=history&amp;date_from=2025-07-28</t>
  </si>
  <si>
    <t>https://ru.investing.com/equities/intl-paper-co-historical-data</t>
  </si>
  <si>
    <t>IP</t>
  </si>
  <si>
    <t>US4606901001</t>
  </si>
  <si>
    <t>Interpublic Group ofComp ORDSH</t>
  </si>
  <si>
    <t>https://www.moex.com/ru/marketdata/#/mode=instrument&amp;secid=IPG-RM&amp;boardgroupid=1258&amp;mode_type=history&amp;date_from=2025-07-28</t>
  </si>
  <si>
    <t>https://ru.investing.com/equities/interpublic-grp-historical-data</t>
  </si>
  <si>
    <t>IPG</t>
  </si>
  <si>
    <t>US4612021034</t>
  </si>
  <si>
    <t>Intuit Inc.</t>
  </si>
  <si>
    <t>https://www.moex.com/ru/marketdata/#/mode=instrument&amp;secid=INTU-RM&amp;boardgroupid=1258&amp;mode_type=history&amp;date_from=2025-07-28</t>
  </si>
  <si>
    <t>https://ru.investing.com/equities/intuit-historical-data</t>
  </si>
  <si>
    <t>INTU</t>
  </si>
  <si>
    <t>US46120E6023</t>
  </si>
  <si>
    <t>Intuitive Surgical</t>
  </si>
  <si>
    <t>https://www.moex.com/ru/marketdata/#/mode=instrument&amp;secid=ISRG-RM&amp;boardgroupid=1258&amp;mode_type=history&amp;date_from=2025-04-28</t>
  </si>
  <si>
    <t>https://ru.investing.com/equities/intuitive-surgical-inc-historical-data</t>
  </si>
  <si>
    <t>ISRG</t>
  </si>
  <si>
    <t>BMG491BT1088</t>
  </si>
  <si>
    <t>Invesco</t>
  </si>
  <si>
    <t>IVZ</t>
  </si>
  <si>
    <t>Инвестиционная компания в недвижимости</t>
  </si>
  <si>
    <t>US46185L1035</t>
  </si>
  <si>
    <t>Invitae Corporation ORD SHS</t>
  </si>
  <si>
    <t>https://www.moex.com/ru/marketdata/#/mode=instrument&amp;secid=NVTA-RM&amp;boardgroupid=1258&amp;mode_type=history&amp;date_from=2025-07-28</t>
  </si>
  <si>
    <t>https://ru.investing.com/equities/invitae-corp-historical-data</t>
  </si>
  <si>
    <t>NVTA</t>
  </si>
  <si>
    <t>US4622221004</t>
  </si>
  <si>
    <t>Ionis Pharmaceuticals ORD SHS</t>
  </si>
  <si>
    <t>https://www.moex.com/ru/marketdata/#/mode=instrument&amp;secid=IONS-RM&amp;boardgroupid=1258&amp;mode_type=history&amp;date_from=2025-07-28</t>
  </si>
  <si>
    <t>https://ru.investing.com/equities/isis-pharma-historical-data</t>
  </si>
  <si>
    <t>IONS</t>
  </si>
  <si>
    <t>US4622601007</t>
  </si>
  <si>
    <t>Iovance Biotherapeutics ORDSHS</t>
  </si>
  <si>
    <t>https://www.moex.com/ru/marketdata/#/mode=instrument&amp;secid=IOVA-RM&amp;boardgroupid=1258&amp;mode_type=history&amp;date_from=2025-07-28</t>
  </si>
  <si>
    <t>https://ru.investing.com/equities/lion-biotechnologies-historical-data</t>
  </si>
  <si>
    <t>IOVA</t>
  </si>
  <si>
    <t>US44980X1090</t>
  </si>
  <si>
    <t>IPG Photonics CoORD SHS</t>
  </si>
  <si>
    <t>https://www.moex.com/ru/marketdata/#/mode=instrument&amp;secid=IPGP-RM&amp;boardgroupid=1258&amp;mode_type=history&amp;date_from=2025-07-28</t>
  </si>
  <si>
    <t>https://ru.investing.com/equities/ipg-photonics-corp.-historical-data</t>
  </si>
  <si>
    <t>IPGP</t>
  </si>
  <si>
    <t>US46266C1053</t>
  </si>
  <si>
    <t>IQVIA HOLDINGS INC ORDSHS</t>
  </si>
  <si>
    <t>https://www.moex.com/ru/marketdata/#/mode=instrument&amp;secid=IQV-RM&amp;boardgroupid=1258&amp;mode_type=history&amp;date_from=2025-07-28</t>
  </si>
  <si>
    <t>https://ru.investing.com/equities/quintis-trl-hlgs-historical-data</t>
  </si>
  <si>
    <t>IQV</t>
  </si>
  <si>
    <t>US46269C1027</t>
  </si>
  <si>
    <t>Iridium Communications</t>
  </si>
  <si>
    <t>IRDM</t>
  </si>
  <si>
    <t>US4627261005</t>
  </si>
  <si>
    <t>iRobot</t>
  </si>
  <si>
    <t>IRBT</t>
  </si>
  <si>
    <t>Производство робототехники</t>
  </si>
  <si>
    <t>US46284V1017</t>
  </si>
  <si>
    <t>Iron Mountain</t>
  </si>
  <si>
    <t>IRM</t>
  </si>
  <si>
    <t>Хранилище информации, Управление корпоративной информацией</t>
  </si>
  <si>
    <t>US8326964058</t>
  </si>
  <si>
    <t>J. M. Smucker Co ORD SHS</t>
  </si>
  <si>
    <t>https://www.moex.com/ru/marketdata/#/mode=instrument&amp;secid=SJM-RM&amp;boardgroupid=1258&amp;mode_type=history&amp;date_from=2025-07-28</t>
  </si>
  <si>
    <t>https://ru.investing.com/equities/jm-smucker-co-historical-data</t>
  </si>
  <si>
    <t>SJM</t>
  </si>
  <si>
    <t>US4456581077</t>
  </si>
  <si>
    <t>J.B HUNT TRANSPORT SERV ORDSHS</t>
  </si>
  <si>
    <t>https://www.moex.com/ru/marketdata/#/mode=instrument&amp;secid=JBHT-RM&amp;boardgroupid=1258&amp;mode_type=history&amp;date_from=2025-07-28</t>
  </si>
  <si>
    <t>https://ru.investing.com/equities/j.b.-hunt-transpo-historical-data</t>
  </si>
  <si>
    <t>JBHT</t>
  </si>
  <si>
    <t>US4262811015</t>
  </si>
  <si>
    <t>Jack Henry Associates ORD SHS</t>
  </si>
  <si>
    <t>https://www.moex.com/ru/marketdata/#/mode=instrument&amp;secid=JKHY-RM&amp;boardgroupid=1258&amp;mode_type=history&amp;date_from=2025-07-28</t>
  </si>
  <si>
    <t>https://ru.investing.com/equities/jack-henry---asso-historical-data</t>
  </si>
  <si>
    <t>JKHY</t>
  </si>
  <si>
    <t>US4698141078</t>
  </si>
  <si>
    <t>Jacobs Engineering Group OrdSh</t>
  </si>
  <si>
    <t>https://www.moex.com/ru/marketdata/#/mode=instrument&amp;secid=J-RM&amp;boardgroupid=1258&amp;mode_type=history&amp;date_from=2025-07-28</t>
  </si>
  <si>
    <t>https://ru.investing.com/equities/jacobs-engineer-historical-data?cid=1177327</t>
  </si>
  <si>
    <t>J</t>
  </si>
  <si>
    <t>US47233W1099</t>
  </si>
  <si>
    <t>Jefferies Financial Gr ORD SHS</t>
  </si>
  <si>
    <t>https://www.moex.com/ru/marketdata/#/mode=instrument&amp;secid=JEF-RM&amp;boardgroupid=1258&amp;mode_type=history&amp;date_from=2025-07-28</t>
  </si>
  <si>
    <t>https://ru.investing.com/equities/leucadia-natl-historical-data</t>
  </si>
  <si>
    <t>JEF</t>
  </si>
  <si>
    <t>US4781601046</t>
  </si>
  <si>
    <t>Johnson &amp; Johnson</t>
  </si>
  <si>
    <t>https://www.moex.com/ru/marketdata/#/mode=instrument&amp;secid=JNJ-RM&amp;boardgroupid=1258&amp;mode_type=history&amp;date_from=2025-04-28</t>
  </si>
  <si>
    <t>https://ru.investing.com/equities/johnson-johnson-historical-data</t>
  </si>
  <si>
    <t>JNJ</t>
  </si>
  <si>
    <t>US46591M1099</t>
  </si>
  <si>
    <t xml:space="preserve">JOYY </t>
  </si>
  <si>
    <t>YY</t>
  </si>
  <si>
    <t>US46625H1005</t>
  </si>
  <si>
    <t>JPMorgan Chase &amp; Co.</t>
  </si>
  <si>
    <t>https://www.moex.com/ru/marketdata/#/mode=instrument&amp;secid=JPM-RM&amp;boardgroupid=1258&amp;mode_type=history&amp;date_from=2025-04-28</t>
  </si>
  <si>
    <t>https://ru.investing.com/equities/jp-morgan-chase-historical-data</t>
  </si>
  <si>
    <t>JPM</t>
  </si>
  <si>
    <t>US63253R201</t>
  </si>
  <si>
    <t>JSC Kazatomprom</t>
  </si>
  <si>
    <t>KAP</t>
  </si>
  <si>
    <t>Казахстан</t>
  </si>
  <si>
    <t>US48203R1041</t>
  </si>
  <si>
    <t>Juniper Networks ORD SHS</t>
  </si>
  <si>
    <t>https://www.moex.com/ru/marketdata/#/mode=instrument&amp;secid=JNPR-RM&amp;boardgroupid=1258&amp;mode_type=history&amp;date_from=2025-07-28</t>
  </si>
  <si>
    <t>https://ru.investing.com/equities/juniper-networks-inc-historical-data</t>
  </si>
  <si>
    <t>JNPR</t>
  </si>
  <si>
    <t>US4851703029</t>
  </si>
  <si>
    <t>KANSAS CITY SOUTHERN ORDSHS</t>
  </si>
  <si>
    <t>https://www.moex.com/ru/marketdata/#/mode=instrument&amp;secid=KSU-RM&amp;boardgroupid=1258&amp;mode_type=history&amp;date_from=2025-07-28</t>
  </si>
  <si>
    <t>https://ru.investing.com/equities/kansas-city-southern-inc-historical-data</t>
  </si>
  <si>
    <t>KSU</t>
  </si>
  <si>
    <t>US4878361082</t>
  </si>
  <si>
    <t>Kellanova</t>
  </si>
  <si>
    <t>https://www.moex.com/ru/marketdata/#/mode=instrument&amp;secid=K-RM&amp;boardgroupid=1258&amp;mode_type=history&amp;date_from=2025-07-28</t>
  </si>
  <si>
    <t>https://ru.investing.com/equities/kellogg-co.-historical-data</t>
  </si>
  <si>
    <t>K</t>
  </si>
  <si>
    <t>US49271V1008</t>
  </si>
  <si>
    <t>Keurig Dr Pepper Inc. ORD SHS</t>
  </si>
  <si>
    <t>https://www.moex.com/ru/marketdata/#/mode=instrument&amp;secid=KDP-RM&amp;boardgroupid=1258&amp;mode_type=history&amp;date_from=2025-07-28</t>
  </si>
  <si>
    <t>https://ru.investing.com/equities/dr-pepper-snapple-historical-data</t>
  </si>
  <si>
    <t>KDP</t>
  </si>
  <si>
    <t>US4932671088</t>
  </si>
  <si>
    <t>Keycorp Ord Shs</t>
  </si>
  <si>
    <t>https://www.moex.com/ru/marketdata/#/mode=instrument&amp;secid=KEY-RM&amp;boardgroupid=1258&amp;mode_type=history&amp;date_from=2025-07-28</t>
  </si>
  <si>
    <t>https://ru.investing.com/equities/keycorp-new-historical-data</t>
  </si>
  <si>
    <t>KEY</t>
  </si>
  <si>
    <t>US49338L1035</t>
  </si>
  <si>
    <t>Keysight Techno Inc ORD SHS</t>
  </si>
  <si>
    <t>https://www.moex.com/ru/marketdata/#/mode=instrument&amp;secid=KEYS-RM&amp;boardgroupid=1258&amp;mode_type=history&amp;date_from=2025-07-28</t>
  </si>
  <si>
    <t>https://ru.investing.com/equities/keysight-technologies-historical-data</t>
  </si>
  <si>
    <t>KEYS</t>
  </si>
  <si>
    <t>US4943681035</t>
  </si>
  <si>
    <t>Kimberly Clark Ord Shs</t>
  </si>
  <si>
    <t>https://www.moex.com/ru/marketdata/#/mode=instrument&amp;secid=KMB-RM&amp;boardgroupid=1258&amp;mode_type=history&amp;date_from=2025-07-28</t>
  </si>
  <si>
    <t>https://ru.investing.com/equities/kimberly-clark-historical-data</t>
  </si>
  <si>
    <t>KMB</t>
  </si>
  <si>
    <t>US49456B1017</t>
  </si>
  <si>
    <t>Kinder Morgan Ord Shs Class P</t>
  </si>
  <si>
    <t>https://www.moex.com/ru/marketdata/#/mode=instrument&amp;secid=KMI-RM&amp;boardgroupid=1258&amp;mode_type=history&amp;date_from=2025-07-28</t>
  </si>
  <si>
    <t>https://ru.investing.com/equities/kinder-morgan-historical-data</t>
  </si>
  <si>
    <t>KMI</t>
  </si>
  <si>
    <t>US48251W1045</t>
  </si>
  <si>
    <t>KKR &amp; Co. Inc. ORD SHS</t>
  </si>
  <si>
    <t>https://www.moex.com/ru/marketdata/#/mode=instrument&amp;secid=KKR-RM&amp;boardgroupid=1258&amp;mode_type=history&amp;date_from=2025-07-28</t>
  </si>
  <si>
    <t>https://ru.investing.com/equities/kkr---co-lp-historical-data</t>
  </si>
  <si>
    <t>KKR</t>
  </si>
  <si>
    <t>US4824801009</t>
  </si>
  <si>
    <t>KLA Ord Shs</t>
  </si>
  <si>
    <t>https://www.moex.com/ru/marketdata/#/mode=instrument&amp;secid=KLAC-RM&amp;boardgroupid=1258&amp;mode_type=history&amp;date_from=2025-04-28</t>
  </si>
  <si>
    <t>https://ru.investing.com/equities/kla-tencor-corp-historical-data</t>
  </si>
  <si>
    <t>KLAC</t>
  </si>
  <si>
    <t>US4990491049</t>
  </si>
  <si>
    <t>Knight-Swift Tran Hold ORD SHS</t>
  </si>
  <si>
    <t>https://www.moex.com/ru/marketdata/#/mode=instrument&amp;secid=KNX-RM&amp;boardgroupid=1258&amp;mode_type=history&amp;date_from=2025-07-28</t>
  </si>
  <si>
    <t>https://ru.investing.com/equities/knight-transportation-inc-historical-data</t>
  </si>
  <si>
    <t>KNX</t>
  </si>
  <si>
    <t>US5006001011</t>
  </si>
  <si>
    <t>Kopin Corporation ORD SHS</t>
  </si>
  <si>
    <t>https://www.moex.com/ru/marketdata/#/mode=instrument&amp;secid=KOPN-RM&amp;boardgroupid=1258&amp;mode_type=history&amp;date_from=2025-07-28</t>
  </si>
  <si>
    <t>https://ru.investing.com/equities/kopin-corp-historical-data</t>
  </si>
  <si>
    <t>KOPN</t>
  </si>
  <si>
    <t>US5007541064</t>
  </si>
  <si>
    <t>Kraft Heinz</t>
  </si>
  <si>
    <t>https://www.moex.com/ru/marketdata/#/mode=instrument&amp;secid=KHC-RM&amp;boardgroupid=1258&amp;mode_type=history&amp;date_from=2025-04-28</t>
  </si>
  <si>
    <t>https://ru.investing.com/equities/kraft-foods-inc-historical-data</t>
  </si>
  <si>
    <t>KHC</t>
  </si>
  <si>
    <t>US50155Q1004</t>
  </si>
  <si>
    <t>Kyndryl Holdings, Inc. ORD SHS</t>
  </si>
  <si>
    <t>https://www.moex.com/ru/marketdata/#/mode=instrument&amp;secid=KD-RM&amp;boardgroupid=1258&amp;mode_type=history&amp;date_from=2025-07-28</t>
  </si>
  <si>
    <t>https://ru.investing.com/equities/kyndryl-holdings-historical-data</t>
  </si>
  <si>
    <t>KD</t>
  </si>
  <si>
    <t>Холдинги</t>
  </si>
  <si>
    <t>US50540R4092</t>
  </si>
  <si>
    <t>LABORATORY CORPORATION  ORDSHS</t>
  </si>
  <si>
    <t>https://www.moex.com/ru/marketdata/#/mode=instrument&amp;secid=LH-RM&amp;boardgroupid=1258&amp;mode_type=history&amp;date_from=2025-07-28</t>
  </si>
  <si>
    <t>https://ru.investing.com/equities/laboratory-corp-of-amer-historical-data?cid=21709</t>
  </si>
  <si>
    <t>LH</t>
  </si>
  <si>
    <t>US5128071082</t>
  </si>
  <si>
    <t>Lam Research Corporation</t>
  </si>
  <si>
    <t>https://www.moex.com/ru/marketdata/#/mode=instrument&amp;secid=LRCX-RM&amp;boardgroupid=1258&amp;mode_type=history&amp;date_from=2025-07-28</t>
  </si>
  <si>
    <t>https://ru.investing.com/equities/lam-research-corp-historical-data</t>
  </si>
  <si>
    <t>LRCX</t>
  </si>
  <si>
    <t>US5132721045</t>
  </si>
  <si>
    <t>Lamb Weston Holdings ORD SHS</t>
  </si>
  <si>
    <t>https://www.moex.com/ru/marketdata/#/mode=instrument&amp;secid=LW-RM&amp;boardgroupid=1258&amp;mode_type=history&amp;date_from=2025-07-28</t>
  </si>
  <si>
    <t>https://ru.investing.com/equities/lamb-weston-holdings-inc-historical-data</t>
  </si>
  <si>
    <t>LW</t>
  </si>
  <si>
    <t>US5178341070</t>
  </si>
  <si>
    <t>Las Vegas Sands</t>
  </si>
  <si>
    <t>https://www.moex.com/ru/marketdata/#/mode=instrument&amp;secid=LVS-RM&amp;boardgroupid=1258&amp;mode_type=history&amp;date_from=2025-04-28</t>
  </si>
  <si>
    <t>https://ru.investing.com/equities/las-vegas-sands-historical-data</t>
  </si>
  <si>
    <t>LVS</t>
  </si>
  <si>
    <t>Индустрия развлечения, Игорный бизнес</t>
  </si>
  <si>
    <t>US5184151042</t>
  </si>
  <si>
    <t>Lattice Semicond Corp ORD SHS</t>
  </si>
  <si>
    <t>https://www.moex.com/ru/marketdata/#/mode=instrument&amp;secid=LSCC-RM&amp;boardgroupid=1258&amp;mode_type=history&amp;date_from=2025-07-28</t>
  </si>
  <si>
    <t>https://ru.investing.com/equities/lattice-semiconductor-historical-data</t>
  </si>
  <si>
    <t>LSCC</t>
  </si>
  <si>
    <t>US5246601075</t>
  </si>
  <si>
    <t>Leggett &amp; Platt Ord Shs</t>
  </si>
  <si>
    <t>https://www.moex.com/ru/marketdata/#/mode=instrument&amp;secid=LEG-RM&amp;boardgroupid=1258&amp;mode_type=history&amp;date_from=2025-07-28</t>
  </si>
  <si>
    <t>https://ru.investing.com/equities/leggett---platt-historical-data</t>
  </si>
  <si>
    <t>LEG</t>
  </si>
  <si>
    <t>US5253271028</t>
  </si>
  <si>
    <t>Leidos Holdings Inc</t>
  </si>
  <si>
    <t>LDOS</t>
  </si>
  <si>
    <t>US52603B1070</t>
  </si>
  <si>
    <t>LendingTree</t>
  </si>
  <si>
    <t>TREE</t>
  </si>
  <si>
    <t>Финансы, микрофинансирование</t>
  </si>
  <si>
    <t>US5260571048</t>
  </si>
  <si>
    <t>Lennar Corporation ORDSHS CL A</t>
  </si>
  <si>
    <t>https://www.moex.com/ru/marketdata/#/mode=instrument&amp;secid=LEN-RM&amp;boardgroupid=1258&amp;mode_type=history&amp;date_from=2025-07-28</t>
  </si>
  <si>
    <t>https://ru.investing.com/equities/lennar-historical-data</t>
  </si>
  <si>
    <t>LEN</t>
  </si>
  <si>
    <t>Строительство зданий</t>
  </si>
  <si>
    <t>US5341871094</t>
  </si>
  <si>
    <t>Lincoln National Corporation</t>
  </si>
  <si>
    <t>https://www.moex.com/ru/marketdata/#/mode=instrument&amp;secid=LNC-RM&amp;boardgroupid=1258&amp;mode_type=history&amp;date_from=2025-07-28</t>
  </si>
  <si>
    <t>https://ru.investing.com/equities/lincoln-natl-historical-data</t>
  </si>
  <si>
    <t>LNC</t>
  </si>
  <si>
    <t>US5380341090</t>
  </si>
  <si>
    <t>Live Nation Entertainm ORD SHS</t>
  </si>
  <si>
    <t>https://www.moex.com/ru/marketdata/#/mode=instrument&amp;secid=LYV-RM&amp;boardgroupid=1258&amp;mode_type=history&amp;date_from=2025-07-28</t>
  </si>
  <si>
    <t>https://ru.investing.com/equities/live-nation-entertainment-inc-historical-data</t>
  </si>
  <si>
    <t>LYV</t>
  </si>
  <si>
    <t>US53814L1089</t>
  </si>
  <si>
    <t>Livent Ord Shs</t>
  </si>
  <si>
    <t>https://www.moex.com/ru/marketdata/#/mode=instrument&amp;secid=LTHM-RM&amp;boardgroupid=1258&amp;mode_type=history&amp;date_from=2025-07-28</t>
  </si>
  <si>
    <t>https://ru.investing.com/equities/livent-corp-historical-data?cid=1169614</t>
  </si>
  <si>
    <t>LTHM</t>
  </si>
  <si>
    <t>US5018892084</t>
  </si>
  <si>
    <t>LKQ CORPORATION ORDSHS</t>
  </si>
  <si>
    <t>https://www.moex.com/ru/marketdata/#/mode=instrument&amp;secid=LKQ-RM&amp;boardgroupid=1258&amp;mode_type=history&amp;date_from=2025-07-28</t>
  </si>
  <si>
    <t>https://ru.investing.com/equities/lkq-historical-data</t>
  </si>
  <si>
    <t>LKQ</t>
  </si>
  <si>
    <t>US5404241086</t>
  </si>
  <si>
    <t>LOEWS CORPORATION ORDSHS</t>
  </si>
  <si>
    <t>https://www.moex.com/ru/marketdata/#/mode=instrument&amp;secid=L-RM&amp;boardgroupid=1258&amp;mode_type=history&amp;date_from=2025-07-28</t>
  </si>
  <si>
    <t>https://ru.investing.com/equities/loews-corporation-historical-data</t>
  </si>
  <si>
    <t>L</t>
  </si>
  <si>
    <t>US54405Q2093</t>
  </si>
  <si>
    <t>Lordstown Motors Corp ORDSHS A</t>
  </si>
  <si>
    <t>https://www.moex.com/ru/marketdata/#/mode=instrument&amp;secid=RIDE-RM&amp;boardgroupid=1258&amp;mode_type=history&amp;date_from=2025-07-28</t>
  </si>
  <si>
    <t>https://ru.investing.com/equities/diamondpeak-holdings-corp-historical-data</t>
  </si>
  <si>
    <t>RIDE</t>
  </si>
  <si>
    <t>US5463471053</t>
  </si>
  <si>
    <t>Louisiana-Pacific Corp ORDSHS</t>
  </si>
  <si>
    <t>https://www.moex.com/ru/marketdata/#/mode=instrument&amp;secid=LPX-RM&amp;boardgroupid=1258&amp;mode_type=history&amp;date_from=2025-07-28</t>
  </si>
  <si>
    <t>https://ru.investing.com/equities/louisiana-pacific-historical-data</t>
  </si>
  <si>
    <t>LPX</t>
  </si>
  <si>
    <t>US5486611073</t>
  </si>
  <si>
    <t>Lowe's Companies, Inc.</t>
  </si>
  <si>
    <t>https://www.moex.com/ru/marketdata/#/mode=instrument&amp;secid=LOW-RM&amp;boardgroupid=1258&amp;mode_type=history&amp;date_from=2025-07-28</t>
  </si>
  <si>
    <t>https://ru.investing.com/equities/lowes-companies-historical-data</t>
  </si>
  <si>
    <t>LOW</t>
  </si>
  <si>
    <t>US5500211090</t>
  </si>
  <si>
    <t>lululemon athletica inc ORDSHS</t>
  </si>
  <si>
    <t>https://www.moex.com/ru/marketdata/#/mode=instrument&amp;secid=LULU-RM&amp;boardgroupid=1258&amp;mode_type=history&amp;date_from=2025-07-28</t>
  </si>
  <si>
    <t>https://ru.investing.com/equities/lululemon-athletica-historical-data</t>
  </si>
  <si>
    <t>LULU</t>
  </si>
  <si>
    <t>US5502411037</t>
  </si>
  <si>
    <t>Lumen Technologies, Inc.</t>
  </si>
  <si>
    <t>https://www.moex.com/ru/marketdata/#/mode=instrument&amp;secid=LUMN-RM&amp;boardgroupid=1258&amp;mode_type=history&amp;date_from=2025-07-28</t>
  </si>
  <si>
    <t>https://ru.investing.com/equities/centurylink-historical-data</t>
  </si>
  <si>
    <t>LUMN</t>
  </si>
  <si>
    <t>US5504241051</t>
  </si>
  <si>
    <t>Luminar Technologies ORD SHS A</t>
  </si>
  <si>
    <t>https://www.moex.com/ru/marketdata/#/mode=instrument&amp;secid=LAZR-RM&amp;boardgroupid=1258&amp;mode_type=history&amp;date_from=2025-07-28</t>
  </si>
  <si>
    <t>https://ru.investing.com/equities/gores-metropoulos-inc-historical-data?cid=1180692</t>
  </si>
  <si>
    <t>LAZR</t>
  </si>
  <si>
    <t>US55087P1049</t>
  </si>
  <si>
    <t>Lyft, Inc. ORD SHS Cl A</t>
  </si>
  <si>
    <t>https://www.moex.com/ru/marketdata/#/mode=instrument&amp;secid=LYFT-RM&amp;boardgroupid=1258&amp;mode_type=history&amp;date_from=2025-07-28</t>
  </si>
  <si>
    <t>https://ru.investing.com/equities/lyft-historical-data</t>
  </si>
  <si>
    <t>LYFT</t>
  </si>
  <si>
    <t>US55261F1049</t>
  </si>
  <si>
    <t>M&amp;T Bank Co ORD SHS</t>
  </si>
  <si>
    <t>https://www.moex.com/ru/marketdata/#/mode=instrument&amp;secid=MTB-RM&amp;boardgroupid=1258&amp;mode_type=history&amp;date_from=2025-07-28</t>
  </si>
  <si>
    <t>https://ru.investing.com/equities/m-t-bank-corp-historical-data</t>
  </si>
  <si>
    <t>MTB</t>
  </si>
  <si>
    <t>US55616P1049</t>
  </si>
  <si>
    <t xml:space="preserve">Macy's </t>
  </si>
  <si>
    <t>https://www.moex.com/ru/marketdata/#/mode=instrument&amp;secid=M-RM&amp;boardgroupid=1258&amp;mode_type=history&amp;date_from=2025-04-28</t>
  </si>
  <si>
    <t>https://ru.investing.com/equities/macys-historical-data</t>
  </si>
  <si>
    <t>M</t>
  </si>
  <si>
    <t>Холдинговая компания, занимающаяся розничной торговлей.</t>
  </si>
  <si>
    <t>US5588681057</t>
  </si>
  <si>
    <t xml:space="preserve">Madrigal </t>
  </si>
  <si>
    <t>MDGL</t>
  </si>
  <si>
    <t>Биофрмацевтическая компания</t>
  </si>
  <si>
    <t>US5658491064</t>
  </si>
  <si>
    <t>Marathon Oil Corporation</t>
  </si>
  <si>
    <t>https://www.moex.com/ru/marketdata/#/mode=instrument&amp;secid=MRO-RM&amp;boardgroupid=1258&amp;mode_type=history&amp;date_from=2025-07-28</t>
  </si>
  <si>
    <t>https://ru.investing.com/equities/marathon-oil-historical-data</t>
  </si>
  <si>
    <t>MRO</t>
  </si>
  <si>
    <t>US56585A1025</t>
  </si>
  <si>
    <t>Marathon Petroleum Corporation</t>
  </si>
  <si>
    <t>https://www.moex.com/ru/marketdata/#/mode=instrument&amp;secid=MPC-RM&amp;boardgroupid=1258&amp;mode_type=history&amp;date_from=2025-07-28</t>
  </si>
  <si>
    <t>https://ru.investing.com/equities/marathon-petroleum-corp.-historical-data</t>
  </si>
  <si>
    <t>MPC</t>
  </si>
  <si>
    <t>US57060D1081</t>
  </si>
  <si>
    <t>MarketAxess Hld Inc. ORD SHS</t>
  </si>
  <si>
    <t>https://www.moex.com/ru/marketdata/#/mode=instrument&amp;secid=MKTX-RM&amp;boardgroupid=1258&amp;mode_type=history&amp;date_from=2025-07-28</t>
  </si>
  <si>
    <t>https://ru.investing.com/equities/marketaxess-holdi-historical-data</t>
  </si>
  <si>
    <t>MKTX</t>
  </si>
  <si>
    <t>US57142B1044</t>
  </si>
  <si>
    <t>Marqeta, Inc. ORD SHS CL A</t>
  </si>
  <si>
    <t>https://www.moex.com/ru/marketdata/#/mode=instrument&amp;secid=MQ-RM&amp;boardgroupid=1258&amp;mode_type=history&amp;date_from=2025-07-28</t>
  </si>
  <si>
    <t>https://ru.investing.com/equities/marqeta-historical-data</t>
  </si>
  <si>
    <t>MQ</t>
  </si>
  <si>
    <t>US5719032022</t>
  </si>
  <si>
    <t>Marriott Int ORD SHS CLA</t>
  </si>
  <si>
    <t>https://www.moex.com/ru/marketdata/#/mode=instrument&amp;secid=MAR-RM&amp;boardgroupid=1258&amp;mode_type=history&amp;date_from=2025-04-28</t>
  </si>
  <si>
    <t>https://ru.investing.com/equities/marriott-intl-historical-data</t>
  </si>
  <si>
    <t>MAR</t>
  </si>
  <si>
    <t>US5717481023</t>
  </si>
  <si>
    <t>Marsh &amp; McLennan ORD SHS</t>
  </si>
  <si>
    <t>https://www.moex.com/ru/marketdata/#/mode=instrument&amp;secid=MMC-RM&amp;boardgroupid=1258&amp;mode_type=history&amp;date_from=2025-07-28</t>
  </si>
  <si>
    <t>https://ru.investing.com/equities/marsh---mclennan-historical-data</t>
  </si>
  <si>
    <t>MMC</t>
  </si>
  <si>
    <t>US5732841060</t>
  </si>
  <si>
    <t>Martin Marietta Mater ORD SHS</t>
  </si>
  <si>
    <t>https://www.moex.com/ru/marketdata/#/mode=instrument&amp;secid=MLM-RM&amp;boardgroupid=1258&amp;mode_type=history&amp;date_from=2025-07-28</t>
  </si>
  <si>
    <t>https://ru.investing.com/equities/martin-marietta-materials-inc-historical-data</t>
  </si>
  <si>
    <t>MLM</t>
  </si>
  <si>
    <t>Производство строительных материалов</t>
  </si>
  <si>
    <t>US5745991068</t>
  </si>
  <si>
    <t>MASCO CORPORATION ORDSHS</t>
  </si>
  <si>
    <t>https://www.moex.com/ru/marketdata/#/mode=instrument&amp;secid=MAS-RM&amp;boardgroupid=1258&amp;mode_type=history&amp;date_from=2025-07-28</t>
  </si>
  <si>
    <t>https://ru.investing.com/equities/masco-corp-historical-data</t>
  </si>
  <si>
    <t>MAS</t>
  </si>
  <si>
    <t>US57636Q1040</t>
  </si>
  <si>
    <t>MasterCard Incorporated</t>
  </si>
  <si>
    <t>https://www.moex.com/ru/marketdata/#/mode=instrument&amp;secid=MA-RM&amp;boardgroupid=1258&amp;mode_type=history&amp;date_from=2025-04-28</t>
  </si>
  <si>
    <t>https://ru.investing.com/equities/mastercard-cl-a-historical-data</t>
  </si>
  <si>
    <t>MA</t>
  </si>
  <si>
    <t>Финансы, платежная система</t>
  </si>
  <si>
    <t>US57667L1070</t>
  </si>
  <si>
    <t>Match Group, Inc. ORD SHS</t>
  </si>
  <si>
    <t>https://www.moex.com/ru/marketdata/#/mode=instrument&amp;secid=MTCH-RM&amp;boardgroupid=1258&amp;mode_type=history&amp;date_from=2025-07-28</t>
  </si>
  <si>
    <t>https://ru.investing.com/equities/match-group-inc-historical-data</t>
  </si>
  <si>
    <t>MTCH</t>
  </si>
  <si>
    <t>US5770811025</t>
  </si>
  <si>
    <t>Mattel, Inc.ORD SHS</t>
  </si>
  <si>
    <t>https://www.moex.com/ru/marketdata/#/mode=instrument&amp;secid=MAT-RM&amp;boardgroupid=1258&amp;mode_type=history&amp;date_from=2025-07-28</t>
  </si>
  <si>
    <t>https://ru.investing.com/equities/mattel-inc-historical-data</t>
  </si>
  <si>
    <t>MAT</t>
  </si>
  <si>
    <t>US5797802064</t>
  </si>
  <si>
    <t>McCormick &amp; Co Non-Voting Ord</t>
  </si>
  <si>
    <t>https://www.moex.com/ru/marketdata/#/mode=instrument&amp;secid=MKC-RM&amp;boardgroupid=1258&amp;mode_type=history&amp;date_from=2025-07-28</t>
  </si>
  <si>
    <t>https://ru.investing.com/equities/mccormick---co-historical-data</t>
  </si>
  <si>
    <t>MKC</t>
  </si>
  <si>
    <t>US5801351017</t>
  </si>
  <si>
    <t>McDonald's Corporation</t>
  </si>
  <si>
    <t>https://www.moex.com/ru/marketdata/#/mode=instrument&amp;secid=MCD-RM&amp;boardgroupid=1258&amp;mode_type=history&amp;date_from=2025-04-28</t>
  </si>
  <si>
    <t>https://ru.investing.com/equities/mcdonalds-historical-data</t>
  </si>
  <si>
    <t>MCD</t>
  </si>
  <si>
    <t>US58155Q1031</t>
  </si>
  <si>
    <t>McKesson CorporationORD SHS</t>
  </si>
  <si>
    <t>https://www.moex.com/ru/marketdata/#/mode=instrument&amp;secid=MCK-RM&amp;boardgroupid=1258&amp;mode_type=history&amp;date_from=2025-07-28</t>
  </si>
  <si>
    <t>https://ru.investing.com/equities/mckesson-corp-historical-data</t>
  </si>
  <si>
    <t>MCK</t>
  </si>
  <si>
    <t>US58470H1014</t>
  </si>
  <si>
    <t>Medifast</t>
  </si>
  <si>
    <t>MED</t>
  </si>
  <si>
    <t>US58733R1023</t>
  </si>
  <si>
    <t>MercadoLibre</t>
  </si>
  <si>
    <t>MELI</t>
  </si>
  <si>
    <t>Электронная торговля, Онлайн-ретейл</t>
  </si>
  <si>
    <t>US58933Y1055</t>
  </si>
  <si>
    <t xml:space="preserve">Merck &amp; Co.. Inc. </t>
  </si>
  <si>
    <t>https://www.moex.com/ru/marketdata/#/mode=instrument&amp;secid=MRK-RM&amp;boardgroupid=1258&amp;mode_type=history&amp;date_from=2025-04-28</t>
  </si>
  <si>
    <t>https://ru.investing.com/equities/merck---co-historical-data</t>
  </si>
  <si>
    <t>MRK</t>
  </si>
  <si>
    <t>US30303M1027</t>
  </si>
  <si>
    <t>Meta Platforms Inc</t>
  </si>
  <si>
    <t>META</t>
  </si>
  <si>
    <t>US59156R1086</t>
  </si>
  <si>
    <t>MetLife, Inc.</t>
  </si>
  <si>
    <t>https://www.moex.com/ru/marketdata/#/mode=instrument&amp;secid=MET-RM&amp;boardgroupid=1258&amp;mode_type=history&amp;date_from=2025-07-28</t>
  </si>
  <si>
    <t>https://ru.investing.com/equities/metlife-inc-historical-data</t>
  </si>
  <si>
    <t>MET</t>
  </si>
  <si>
    <t>US5926881054</t>
  </si>
  <si>
    <t>METTLER-TOLEDO INTERNAT ORDSHS</t>
  </si>
  <si>
    <t>https://www.moex.com/ru/marketdata/#/mode=instrument&amp;secid=MTD-RM&amp;boardgroupid=1258&amp;mode_type=history&amp;date_from=2025-07-28</t>
  </si>
  <si>
    <t>https://ru.investing.com/equities/mettler-toledo-international-inc-historical-data</t>
  </si>
  <si>
    <t>MTD</t>
  </si>
  <si>
    <t>US5528481030</t>
  </si>
  <si>
    <t>MGIC Investment Corp ORD SHS</t>
  </si>
  <si>
    <t>https://www.moex.com/ru/marketdata/#/mode=instrument&amp;secid=MTG-RM&amp;boardgroupid=1258&amp;mode_type=history&amp;date_from=2025-07-28</t>
  </si>
  <si>
    <t>https://ru.investing.com/equities/mgic-inv-historical-data</t>
  </si>
  <si>
    <t>MTG</t>
  </si>
  <si>
    <t>US5529531015</t>
  </si>
  <si>
    <t>MGM Resorts International</t>
  </si>
  <si>
    <t>https://www.moex.com/ru/marketdata/#/mode=instrument&amp;secid=MGM-RM&amp;boardgroupid=1258&amp;mode_type=history&amp;date_from=2025-07-28</t>
  </si>
  <si>
    <t>https://ru.investing.com/equities/mgm-mirage-historical-data</t>
  </si>
  <si>
    <t>MGM</t>
  </si>
  <si>
    <t>US5596631094</t>
  </si>
  <si>
    <t>Mgnlia Oil &amp; Gas Corp ORDSHS A</t>
  </si>
  <si>
    <t>https://www.moex.com/ru/marketdata/#/mode=instrument&amp;secid=MGY-RM&amp;boardgroupid=1258&amp;mode_type=history&amp;date_from=2025-07-28</t>
  </si>
  <si>
    <t>https://ru.investing.com/equities/tpg-pace-energy-class-a-historical-data</t>
  </si>
  <si>
    <t>MGY</t>
  </si>
  <si>
    <t>US5950171042</t>
  </si>
  <si>
    <t>Microchip Technology Inc ORDSH</t>
  </si>
  <si>
    <t>https://www.moex.com/ru/marketdata/#/mode=instrument&amp;secid=MCHP-RM&amp;boardgroupid=1258&amp;mode_type=history&amp;date_from=2025-07-28</t>
  </si>
  <si>
    <t>https://ru.investing.com/equities/microchip-technology-inc-historical-data</t>
  </si>
  <si>
    <t>MCHP</t>
  </si>
  <si>
    <t>US5951121038</t>
  </si>
  <si>
    <t>Micron Technology, Inc.</t>
  </si>
  <si>
    <t>MU</t>
  </si>
  <si>
    <t>Производство микроэлектроники</t>
  </si>
  <si>
    <t>US5949181045</t>
  </si>
  <si>
    <t>Microsoft</t>
  </si>
  <si>
    <t>https://www.moex.com/ru/marketdata/#/mode=instrument&amp;secid=MSFT-RM&amp;boardgroupid=1258&amp;mode_type=history&amp;date_from=2025-04-28</t>
  </si>
  <si>
    <t>https://ru.investing.com/equities/microsoft-corp-historical-data</t>
  </si>
  <si>
    <t>MSFT</t>
  </si>
  <si>
    <t>US5949724083</t>
  </si>
  <si>
    <t>MicroStrategy Incorporated</t>
  </si>
  <si>
    <t>https://www.moex.com/ru/marketdata/#/mode=instrument&amp;secid=MSTR-RM&amp;boardgroupid=1258&amp;mode_type=history&amp;date_from=2025-04-28</t>
  </si>
  <si>
    <t>https://ru.investing.com/equities/microstrategy-inc-historical-data</t>
  </si>
  <si>
    <t>MSTR</t>
  </si>
  <si>
    <t>US5949603048</t>
  </si>
  <si>
    <t>MicroVision, Inc. ORD SHS</t>
  </si>
  <si>
    <t>https://www.moex.com/ru/marketdata/#/mode=instrument&amp;secid=MVIS-RM&amp;boardgroupid=1258&amp;mode_type=history&amp;date_from=2025-07-28</t>
  </si>
  <si>
    <t>https://ru.investing.com/equities/microvision-historical-data</t>
  </si>
  <si>
    <t>MVIS</t>
  </si>
  <si>
    <t>US60770K1079</t>
  </si>
  <si>
    <t>Moderna, Inc.</t>
  </si>
  <si>
    <t>https://www.moex.com/ru/marketdata/#/mode=instrument&amp;secid=MRNA-RM&amp;boardgroupid=1258&amp;mode_type=history&amp;date_from=2025-07-28</t>
  </si>
  <si>
    <t>https://ru.investing.com/equities/moderna-historical-data</t>
  </si>
  <si>
    <t>MRNA</t>
  </si>
  <si>
    <t>US6081901042</t>
  </si>
  <si>
    <t>Mohawk Industries, Inc ORD SHS</t>
  </si>
  <si>
    <t>https://www.moex.com/ru/marketdata/#/mode=instrument&amp;secid=MHK-RM&amp;boardgroupid=1258&amp;mode_type=history&amp;date_from=2025-07-28</t>
  </si>
  <si>
    <t>https://ru.investing.com/equities/mohawk-industries-historical-data</t>
  </si>
  <si>
    <t>MHK</t>
  </si>
  <si>
    <t>US60871R2094</t>
  </si>
  <si>
    <t>Molson Coors Bev ORD SHS CL B</t>
  </si>
  <si>
    <t>https://www.moex.com/ru/marketdata/#/mode=instrument&amp;secid=TAP-RM&amp;boardgroupid=1258&amp;mode_type=history&amp;date_from=2025-07-28</t>
  </si>
  <si>
    <t>https://ru.investing.com/equities/molson-coors-historical-data</t>
  </si>
  <si>
    <t>TAP</t>
  </si>
  <si>
    <t>US6092071058</t>
  </si>
  <si>
    <t>Mondelez International, Inc.</t>
  </si>
  <si>
    <t>https://www.moex.com/ru/marketdata/#/mode=instrument&amp;secid=MDLZ-RM&amp;boardgroupid=1258&amp;mode_type=history&amp;date_from=2025-07-28</t>
  </si>
  <si>
    <t>https://ru.investing.com/equities/mondelez-international-inc-historical-data</t>
  </si>
  <si>
    <t>MDLZ</t>
  </si>
  <si>
    <t>US6098391054</t>
  </si>
  <si>
    <t>Monolithic Power Syst ORD SHS</t>
  </si>
  <si>
    <t>https://www.moex.com/ru/marketdata/#/mode=instrument&amp;secid=MPWR-RM&amp;boardgroupid=1258&amp;mode_type=history&amp;date_from=2025-07-28</t>
  </si>
  <si>
    <t>https://ru.investing.com/equities/monolithic-power-historical-data</t>
  </si>
  <si>
    <t>MPWR</t>
  </si>
  <si>
    <t>US61174X1090</t>
  </si>
  <si>
    <t>Monster Beverage Corporation</t>
  </si>
  <si>
    <t>https://www.moex.com/ru/marketdata/#/mode=instrument&amp;secid=MNST-RM&amp;boardgroupid=1258&amp;mode_type=history&amp;date_from=2025-07-28</t>
  </si>
  <si>
    <t>https://ru.investing.com/equities/monster-beverage-historical-data</t>
  </si>
  <si>
    <t>MNST</t>
  </si>
  <si>
    <t>US6153691059</t>
  </si>
  <si>
    <t>Moodys CorporationORD SHS</t>
  </si>
  <si>
    <t>https://www.moex.com/ru/marketdata/#/mode=instrument&amp;secid=MCO-RM&amp;boardgroupid=1258&amp;mode_type=history&amp;date_from=2025-07-28</t>
  </si>
  <si>
    <t>https://ru.investing.com/equities/moodys-corp-historical-data</t>
  </si>
  <si>
    <t>MCO</t>
  </si>
  <si>
    <t>Микрофинансирование</t>
  </si>
  <si>
    <t>US6174464486</t>
  </si>
  <si>
    <t>Morgan Stanley</t>
  </si>
  <si>
    <t>https://www.moex.com/ru/marketdata/#/mode=instrument&amp;secid=MS-RM&amp;boardgroupid=1258&amp;mode_type=history&amp;date_from=2025-07-28</t>
  </si>
  <si>
    <t>https://ru.investing.com/equities/morgan-stanley-historical-data</t>
  </si>
  <si>
    <t>MS</t>
  </si>
  <si>
    <t>US6200763075</t>
  </si>
  <si>
    <t>Motorola Solutions ORD SHS</t>
  </si>
  <si>
    <t>https://www.moex.com/ru/marketdata/#/mode=instrument&amp;secid=MSI-RM&amp;boardgroupid=1258&amp;mode_type=history&amp;date_from=2025-07-28</t>
  </si>
  <si>
    <t>https://ru.investing.com/equities/motorola-inc-historical-data</t>
  </si>
  <si>
    <t>MSI</t>
  </si>
  <si>
    <t>US5535301064</t>
  </si>
  <si>
    <t>MSC Industrial Direct</t>
  </si>
  <si>
    <t>MSM</t>
  </si>
  <si>
    <t>Оптовая торговля промышленным оборудованием</t>
  </si>
  <si>
    <t>US55354G1004</t>
  </si>
  <si>
    <t>MSCI Ord Shs</t>
  </si>
  <si>
    <t>https://www.moex.com/ru/marketdata/#/mode=instrument&amp;secid=MSCI-RM&amp;boardgroupid=1258&amp;mode_type=history&amp;date_from=2025-07-28</t>
  </si>
  <si>
    <t>https://ru.investing.com/equities/msci-inc-historical-data</t>
  </si>
  <si>
    <t>MSCI</t>
  </si>
  <si>
    <t>US6267171022</t>
  </si>
  <si>
    <t>Murphy Oil Corporation ORD SHS</t>
  </si>
  <si>
    <t>https://www.moex.com/ru/marketdata/#/mode=instrument&amp;secid=MUR-RM&amp;boardgroupid=1258&amp;mode_type=history&amp;date_from=2025-07-28</t>
  </si>
  <si>
    <t>https://ru.investing.com/equities/murphy-oil-corp-historical-data</t>
  </si>
  <si>
    <t>MUR</t>
  </si>
  <si>
    <t>US6311031081</t>
  </si>
  <si>
    <t>Nasdaq, Inc.ORD SHS</t>
  </si>
  <si>
    <t>https://www.moex.com/ru/marketdata/#/mode=instrument&amp;secid=NDAQ-RM&amp;boardgroupid=1258&amp;mode_type=history&amp;date_from=2025-07-28</t>
  </si>
  <si>
    <t>https://ru.investing.com/equities/nasdaq-omx-group-historical-data</t>
  </si>
  <si>
    <t>NDAQ</t>
  </si>
  <si>
    <t>US63938C1080</t>
  </si>
  <si>
    <t>Navient Corporation ORD SHS</t>
  </si>
  <si>
    <t>https://www.moex.com/ru/marketdata/#/mode=instrument&amp;secid=NAVI-RM&amp;boardgroupid=1258&amp;mode_type=history&amp;date_from=2025-07-28</t>
  </si>
  <si>
    <t>https://ru.investing.com/equities/navient-cor-historical-data</t>
  </si>
  <si>
    <t>NAVI</t>
  </si>
  <si>
    <t>Лизинг и аренда</t>
  </si>
  <si>
    <t>US62886E1082</t>
  </si>
  <si>
    <t>NCR Voyix Corporation_ORD SHS</t>
  </si>
  <si>
    <t>https://www.moex.com/ru/marketdata/#/mode=instrument&amp;secid=NCR-RM&amp;boardgroupid=1258&amp;mode_type=history&amp;date_from=2025-07-28</t>
  </si>
  <si>
    <t>https://ru.investing.com/equities/ncr-corp-historical-data</t>
  </si>
  <si>
    <t>NCR</t>
  </si>
  <si>
    <t>US64110D1046</t>
  </si>
  <si>
    <t>NetApp, Inc.</t>
  </si>
  <si>
    <t>https://www.moex.com/ru/marketdata/#/mode=instrument&amp;secid=NTAP-RM&amp;boardgroupid=1258&amp;mode_type=history&amp;date_from=2025-07-28</t>
  </si>
  <si>
    <t>https://ru.investing.com/equities/network-appliance-inc-historical-data</t>
  </si>
  <si>
    <t>NTAP</t>
  </si>
  <si>
    <t>US64110L1061</t>
  </si>
  <si>
    <t>Netflix. Inc.</t>
  </si>
  <si>
    <t>https://www.moex.com/ru/marketdata/#/mode=instrument&amp;secid=NFLX-RM&amp;boardgroupid=1258&amp;mode_type=history&amp;date_from=2025-04-28</t>
  </si>
  <si>
    <t>https://ru.investing.com/equities/netflix,-inc.-historical-data</t>
  </si>
  <si>
    <t>NFLX</t>
  </si>
  <si>
    <t>Индустрия развлечений, киноиндустрия</t>
  </si>
  <si>
    <t>US64111Q1040</t>
  </si>
  <si>
    <t>NETGEAR</t>
  </si>
  <si>
    <t>NTGR</t>
  </si>
  <si>
    <t>US64125C1099</t>
  </si>
  <si>
    <t>Neurocrine Biosciences</t>
  </si>
  <si>
    <t>NBIX</t>
  </si>
  <si>
    <t>Биофармацетическая компания</t>
  </si>
  <si>
    <t>US6512291062</t>
  </si>
  <si>
    <t>Newell Brands Inc. ORD SHS</t>
  </si>
  <si>
    <t xml:space="preserve">https://www.moex.com/ru/marketdata/#/mode=instrument&amp;secid=NWL-RM&amp;boardgroupid=50&amp;mode_type=history&amp;date_from=2025-07-28 </t>
  </si>
  <si>
    <t>https://ru.investing.com/equities/newell-rubber-historical-data</t>
  </si>
  <si>
    <t>NWL</t>
  </si>
  <si>
    <t>US6516391066</t>
  </si>
  <si>
    <t>Newmont Corporation</t>
  </si>
  <si>
    <t>https://www.moex.com/ru/marketdata/#/mode=instrument&amp;secid=NEM-RM&amp;boardgroupid=1258&amp;mode_type=history&amp;date_from=2025-04-28</t>
  </si>
  <si>
    <t>https://ru.investing.com/equities/newmont-mining-historical-data</t>
  </si>
  <si>
    <t>NEM</t>
  </si>
  <si>
    <t>Добыча драгоценных металлов</t>
  </si>
  <si>
    <t>US65249B2088</t>
  </si>
  <si>
    <t>News Corp Ord Shs Class B</t>
  </si>
  <si>
    <t>https://www.moex.com/ru/marketdata/#/mode=instrument&amp;secid=NWS-RM&amp;boardgroupid=50&amp;mode_type=history&amp;date_from=2025-07-28</t>
  </si>
  <si>
    <t>https://ru.investing.com/equities/news-corporation-historical-data</t>
  </si>
  <si>
    <t>NWS</t>
  </si>
  <si>
    <t>US65339F1012</t>
  </si>
  <si>
    <t>NextEra Energy</t>
  </si>
  <si>
    <t>https://www.moex.com/ru/marketdata/#/mode=instrument&amp;secid=NEE-RM&amp;boardgroupid=1258&amp;mode_type=history&amp;date_from=2025-04-28</t>
  </si>
  <si>
    <t>https://ru.investing.com/equities/nextera-energy-inc-historical-data</t>
  </si>
  <si>
    <t>NEE</t>
  </si>
  <si>
    <t>Энергетическая компания</t>
  </si>
  <si>
    <t>US6541061031</t>
  </si>
  <si>
    <t>NIKE, Inc.</t>
  </si>
  <si>
    <t>https://www.moex.com/ru/marketdata/#/mode=instrument&amp;secid=NKE-RM&amp;boardgroupid=1258&amp;mode_type=history&amp;date_from=2025-04-28</t>
  </si>
  <si>
    <t>https://ru.investing.com/equities/nike-historical-data</t>
  </si>
  <si>
    <t>NKE</t>
  </si>
  <si>
    <t>US65473P1057</t>
  </si>
  <si>
    <t>NiSource Inc. ORD SHS</t>
  </si>
  <si>
    <t>https://www.moex.com/ru/marketdata/#/mode=instrument&amp;secid=NI-RM&amp;boardgroupid=50&amp;mode_type=history&amp;date_from=2025-07-28</t>
  </si>
  <si>
    <t>https://ru.investing.com/equities/ni-source-inc-historical-data</t>
  </si>
  <si>
    <t>NI</t>
  </si>
  <si>
    <t>US6549022043</t>
  </si>
  <si>
    <t>Nokia</t>
  </si>
  <si>
    <t>NOK</t>
  </si>
  <si>
    <t xml:space="preserve">Транснациональная компания, производитель телекоммуникационного оборудования </t>
  </si>
  <si>
    <t>Финляндия</t>
  </si>
  <si>
    <t>US6556641008</t>
  </si>
  <si>
    <t>NORDSTROM INC. ORDSHS</t>
  </si>
  <si>
    <t>https://www.moex.com/ru/marketdata/#/mode=instrument&amp;secid=JWN-RM&amp;boardgroupid=50&amp;mode_type=history&amp;date_from=2025-07-28</t>
  </si>
  <si>
    <t>https://ru.investing.com/equities/nordstrom-inc-historical-data</t>
  </si>
  <si>
    <t>JWN</t>
  </si>
  <si>
    <t>US6558441084</t>
  </si>
  <si>
    <t>NORFOLK SOUTHERN CORPOR ORDSHS</t>
  </si>
  <si>
    <t>https://www.moex.com/ru/marketdata/#/mode=instrument&amp;secid=NSC-RM&amp;boardgroupid=50&amp;mode_type=history&amp;date_from=2025-07-28</t>
  </si>
  <si>
    <t>https://ru.investing.com/equities/norfolk-southern-historical-data</t>
  </si>
  <si>
    <t>NSC</t>
  </si>
  <si>
    <t>US6658591044</t>
  </si>
  <si>
    <t>Northern Trust Corp ORD SHS</t>
  </si>
  <si>
    <t>https://www.moex.com/ru/marketdata/#/mode=instrument&amp;secid=NTRS-RM&amp;boardgroupid=50&amp;mode_type=history&amp;date_from=2025-07-28</t>
  </si>
  <si>
    <t>https://ru.investing.com/equities/northern-trust-historical-data</t>
  </si>
  <si>
    <t>NTRS</t>
  </si>
  <si>
    <t>US62955J1034</t>
  </si>
  <si>
    <t>NOV Inc. ORD SHS</t>
  </si>
  <si>
    <t>https://www.moex.com/ru/marketdata/#/mode=instrument&amp;secid=NOV-RM&amp;boardgroupid=50&amp;mode_type=history&amp;date_from=2025-07-28</t>
  </si>
  <si>
    <t>https://ru.investing.com/equities/ntl-oilwell-varc-historical-data</t>
  </si>
  <si>
    <t>NOV</t>
  </si>
  <si>
    <t>US6293775085</t>
  </si>
  <si>
    <t>Nrg Energy, Inc. ORD SHS</t>
  </si>
  <si>
    <t>https://www.moex.com/ru/marketdata/#/mode=instrument&amp;secid=NRG-RM&amp;boardgroupid=1258&amp;mode_type=history&amp;date_from=2025-07-28</t>
  </si>
  <si>
    <t>https://ru.investing.com/equities/nrg-energy-inc-historical-data</t>
  </si>
  <si>
    <t>NRG</t>
  </si>
  <si>
    <t>US67018T1051</t>
  </si>
  <si>
    <t>Nu Skin Enterprises</t>
  </si>
  <si>
    <t>NUS</t>
  </si>
  <si>
    <t>Средства личной гигиены, пищевые добавки</t>
  </si>
  <si>
    <t>US6703461052</t>
  </si>
  <si>
    <t>Nucor Corporation</t>
  </si>
  <si>
    <t>https://www.moex.com/ru/marketdata/#/mode=instrument&amp;secid=NUE-RM&amp;boardgroupid=50&amp;mode_type=history&amp;date_from=2025-07-28</t>
  </si>
  <si>
    <t>https://ru.investing.com/equities/nucor-historical-data</t>
  </si>
  <si>
    <t>NUE</t>
  </si>
  <si>
    <t>US67059N1081</t>
  </si>
  <si>
    <t>Nutanix</t>
  </si>
  <si>
    <t>https://www.moex.com/ru/marketdata/#/mode=instrument&amp;secid=NTNX-RM&amp;boardgroupid=1258&amp;mode_type=history&amp;date_from=2025-04-28</t>
  </si>
  <si>
    <t>https://ru.investing.com/equities/nutanix-inc-historical-data</t>
  </si>
  <si>
    <t>NTNX</t>
  </si>
  <si>
    <t>IT компания, программное обеспечение гиперконвергентной инфраструктуры.</t>
  </si>
  <si>
    <t>US67066G1040</t>
  </si>
  <si>
    <t>NVIDIA Corporation</t>
  </si>
  <si>
    <t>https://www.moex.com/ru/marketdata/#/mode=instrument&amp;secid=NVDA-RM&amp;boardgroupid=1258&amp;mode_type=history&amp;date_from=2025-04-28</t>
  </si>
  <si>
    <t>https://ru.investing.com/equities/nvidia-corp-historical-data</t>
  </si>
  <si>
    <t>NVDA</t>
  </si>
  <si>
    <t>Технологическая компания</t>
  </si>
  <si>
    <t>US62944T1051</t>
  </si>
  <si>
    <t>NVR Ord Shs</t>
  </si>
  <si>
    <t>https://www.moex.com/ru/marketdata/#/mode=instrument&amp;secid=NVR-RM&amp;boardgroupid=50&amp;mode_type=history&amp;date_from=2025-07-28</t>
  </si>
  <si>
    <t>https://ru.investing.com/equities/nvr-inc-historical-data</t>
  </si>
  <si>
    <t>NVR</t>
  </si>
  <si>
    <t>US6745991058</t>
  </si>
  <si>
    <t>Occidental Petroleum</t>
  </si>
  <si>
    <t>https://www.moex.com/ru/marketdata/#/mode=instrument&amp;secid=OXY-RM&amp;boardgroupid=1258&amp;mode_type=history&amp;date_from=2025-04-28</t>
  </si>
  <si>
    <t>https://ru.investing.com/equities/occidental-petro-historical-data</t>
  </si>
  <si>
    <t>OXY</t>
  </si>
  <si>
    <t>US6708371033</t>
  </si>
  <si>
    <t>OGE Energy Corp. ORD SHS</t>
  </si>
  <si>
    <t>https://www.moex.com/ru/marketdata/#/mode=instrument&amp;secid=OGE-RM&amp;boardgroupid=50&amp;mode_type=history&amp;date_from=2025-07-28</t>
  </si>
  <si>
    <t>https://ru.investing.com/equities/oge-energy-historical-data</t>
  </si>
  <si>
    <t>OGE</t>
  </si>
  <si>
    <t>US67098H1041</t>
  </si>
  <si>
    <t>O-I Glass, Inc. ORD SHS</t>
  </si>
  <si>
    <t>https://www.moex.com/ru/marketdata/#/mode=instrument&amp;secid=OI-RM&amp;boardgroupid=1258&amp;mode_type=history&amp;date_from=2025-07-28</t>
  </si>
  <si>
    <t>https://ru.investing.com/equities/owens-illinois-inc-historical-data</t>
  </si>
  <si>
    <t>OI</t>
  </si>
  <si>
    <t>US6780261052</t>
  </si>
  <si>
    <t>Oil States</t>
  </si>
  <si>
    <t>OIS</t>
  </si>
  <si>
    <t xml:space="preserve">Нефтяная отрасль,  производство нефтепромысловых продуктов </t>
  </si>
  <si>
    <t>US6792951054</t>
  </si>
  <si>
    <t>Okta, Inc. ORD SHS CL A</t>
  </si>
  <si>
    <t>https://www.moex.com/ru/marketdata/#/mode=instrument&amp;secid=OKTA-RM&amp;boardgroupid=50&amp;mode_type=history&amp;date_from=2025-07-28</t>
  </si>
  <si>
    <t>https://ru.investing.com/equities/okta-inc-historical-data</t>
  </si>
  <si>
    <t>OKTA</t>
  </si>
  <si>
    <t>US6795801009</t>
  </si>
  <si>
    <t>OLD DOMINION FREIGHT LI ORDSHS</t>
  </si>
  <si>
    <t>https://www.moex.com/ru/marketdata/#/mode=instrument&amp;secid=ODFL-RM&amp;boardgroupid=50&amp;mode_type=history&amp;date_from=2025-07-28</t>
  </si>
  <si>
    <t>https://ru.investing.com/equities/old-dominion-freight-line-inc-historical-data</t>
  </si>
  <si>
    <t>ODFL</t>
  </si>
  <si>
    <t>US6819361006</t>
  </si>
  <si>
    <t>OMEGA</t>
  </si>
  <si>
    <t>OHI</t>
  </si>
  <si>
    <t>US6819191064</t>
  </si>
  <si>
    <t>Omnicom Group Inc. Ordshs</t>
  </si>
  <si>
    <t>https://www.moex.com/ru/marketdata/#/mode=instrument&amp;secid=OMC-RM&amp;boardgroupid=50&amp;mode_type=history&amp;date_from=2025-07-28</t>
  </si>
  <si>
    <t>https://ru.investing.com/equities/omnicom-gp-inc-historical-data</t>
  </si>
  <si>
    <t>OMC</t>
  </si>
  <si>
    <t>US6821891057</t>
  </si>
  <si>
    <t>ON Semiconductor Corp ORD SHS</t>
  </si>
  <si>
    <t>https://www.moex.com/ru/marketdata/#/mode=instrument&amp;secid=ON-RM&amp;boardgroupid=50&amp;mode_type=history&amp;date_from=2025-07-28</t>
  </si>
  <si>
    <t>https://ru.investing.com/equities/on-semiconductor-historical-data</t>
  </si>
  <si>
    <t>ON</t>
  </si>
  <si>
    <t>US6826801036</t>
  </si>
  <si>
    <t>Oneok</t>
  </si>
  <si>
    <t>https://www.moex.com/ru/marketdata/#/mode=instrument&amp;secid=OKE-RM&amp;boardgroupid=1258&amp;mode_type=history&amp;date_from=2025-04-28</t>
  </si>
  <si>
    <t>https://ru.investing.com/equities/oneok-historical-data</t>
  </si>
  <si>
    <t>OKE</t>
  </si>
  <si>
    <t>Газовая отрасль, продажа природного газа и прилагаемых услуг</t>
  </si>
  <si>
    <t>US68389X1054</t>
  </si>
  <si>
    <t>Oracle Corporation</t>
  </si>
  <si>
    <t>https://www.moex.com/ru/marketdata/#/mode=instrument&amp;secid=ORCL-RM&amp;boardgroupid=1258&amp;mode_type=history&amp;date_from=2025-04-28</t>
  </si>
  <si>
    <t>https://ru.investing.com/equities/oracle-corp-historical-data</t>
  </si>
  <si>
    <t>ORCL</t>
  </si>
  <si>
    <t>US68554V1089</t>
  </si>
  <si>
    <t>OraSure Technologies Ord Shs</t>
  </si>
  <si>
    <t>https://www.moex.com/ru/marketdata/#/mode=instrument&amp;secid=OSUR-RM&amp;boardgroupid=1258&amp;mode_type=history&amp;date_from=2025-07-28</t>
  </si>
  <si>
    <t>https://ru.investing.com/equities/orasure-tech-historical-data</t>
  </si>
  <si>
    <t>OSUR</t>
  </si>
  <si>
    <t>US67103H1077</t>
  </si>
  <si>
    <t>O'Reilly Automotive IncORDSHS</t>
  </si>
  <si>
    <t>https://www.moex.com/ru/marketdata/#/mode=instrument&amp;secid=ORLY-RM&amp;boardgroupid=50&amp;mode_type=history&amp;date_from=2025-07-28</t>
  </si>
  <si>
    <t>https://ru.investing.com/equities/oreilly-automotive-historical-data</t>
  </si>
  <si>
    <t>ORLY</t>
  </si>
  <si>
    <t>US68622V1061</t>
  </si>
  <si>
    <t>Organon and Co.</t>
  </si>
  <si>
    <t>https://www.moex.com/ru/marketdata/#/mode=instrument&amp;secid=OGN-RM&amp;boardgroupid=1258&amp;mode_type=history&amp;date_from=2025-07-28</t>
  </si>
  <si>
    <t>https://ru.investing.com/equities/organon-co-historical-data</t>
  </si>
  <si>
    <t>OGN</t>
  </si>
  <si>
    <t>US68902V1070</t>
  </si>
  <si>
    <t>Otis Worldwide Corp ORD SHS</t>
  </si>
  <si>
    <t>https://www.moex.com/ru/marketdata/#/mode=instrument&amp;secid=OTIS-RM&amp;boardgroupid=50&amp;mode_type=history&amp;date_from=2025-07-28</t>
  </si>
  <si>
    <t>https://ru.investing.com/equities/otis-worldwide-corp-historical-data</t>
  </si>
  <si>
    <t>OTIS</t>
  </si>
  <si>
    <t>US69047Q1022</t>
  </si>
  <si>
    <t>Ovintiv Inc. ORD SHS</t>
  </si>
  <si>
    <t>https://www.moex.com/ru/marketdata/#/mode=instrument&amp;secid=OVV-RM&amp;boardgroupid=50&amp;mode_type=history&amp;date_from=2025-07-28</t>
  </si>
  <si>
    <t>https://ru.investing.com/equities/encana-corporation-historical-data</t>
  </si>
  <si>
    <t>OVV</t>
  </si>
  <si>
    <t>US6937181088</t>
  </si>
  <si>
    <t>PACCAR Inc</t>
  </si>
  <si>
    <t>https://www.moex.com/ru/marketdata/#/mode=instrument&amp;secid=PCAR-RM&amp;boardgroupid=50&amp;mode_type=history&amp;date_from=2025-07-28</t>
  </si>
  <si>
    <t>https://ru.investing.com/equities/paccar-inc-historical-data</t>
  </si>
  <si>
    <t>PCAR</t>
  </si>
  <si>
    <t>US6951561090</t>
  </si>
  <si>
    <t>Packaging Corp of Amer ORD SHS</t>
  </si>
  <si>
    <t>https://www.moex.com/ru/marketdata/#/mode=instrument&amp;secid=PKG-RM&amp;boardgroupid=50&amp;mode_type=history&amp;date_from=2025-07-28</t>
  </si>
  <si>
    <t>https://ru.investing.com/equities/packaging-corp-historical-data</t>
  </si>
  <si>
    <t>PKG</t>
  </si>
  <si>
    <t>US69553P1003</t>
  </si>
  <si>
    <t>PagerDuty, Inc. ORD SHS</t>
  </si>
  <si>
    <t>https://www.moex.com/ru/marketdata/#/mode=instrument&amp;secid=PD-RM&amp;boardgroupid=50&amp;mode_type=history&amp;date_from=2025-07-28</t>
  </si>
  <si>
    <t>https://ru.investing.com/equities/pagerduty-inc-historical-data</t>
  </si>
  <si>
    <t>PD</t>
  </si>
  <si>
    <t>US6974351057</t>
  </si>
  <si>
    <t>Palo Alto Networks, Inc._ORD S</t>
  </si>
  <si>
    <t>https://www.moex.com/ru/marketdata/#/mode=instrument&amp;secid=PANW-RM&amp;boardgroupid=50&amp;mode_type=history&amp;date_from=2025-07-28</t>
  </si>
  <si>
    <t>https://ru.investing.com/equities/palo-alto-netwrk-historical-data</t>
  </si>
  <si>
    <t>PANW</t>
  </si>
  <si>
    <t>US7010941042</t>
  </si>
  <si>
    <t>Parker-Hannifin Corp ORD SHS</t>
  </si>
  <si>
    <t>https://www.moex.com/ru/marketdata/#/mode=instrument&amp;secid=PAYX-RM&amp;boardgroupid=50&amp;mode_type=history&amp;date_from=2025-07-28</t>
  </si>
  <si>
    <t>https://ru.investing.com/equities/parkerhannifin-historical-data</t>
  </si>
  <si>
    <t>PH</t>
  </si>
  <si>
    <t>US7043261079</t>
  </si>
  <si>
    <t>Paychex, Inc.</t>
  </si>
  <si>
    <t>https://www.moex.com/ru/marketdata/#/mode=instrument&amp;secid=PAYX-RM&amp;boardgroupid=1258&amp;mode_type=history&amp;date_from=2025-07-28</t>
  </si>
  <si>
    <t>https://ru.investing.com/equities/paychex-inc-historical-data</t>
  </si>
  <si>
    <t>PAYX</t>
  </si>
  <si>
    <t>US70432V1026</t>
  </si>
  <si>
    <t>Paycom Software Ord Shs</t>
  </si>
  <si>
    <t>https://www.moex.com/ru/marketdata/#/mode=instrument&amp;secid=PAYC-RM&amp;boardgroupid=1258&amp;mode_type=history&amp;date_from=2025-07-28</t>
  </si>
  <si>
    <t>https://ru.investing.com/equities/paycom-soft-historical-data</t>
  </si>
  <si>
    <t>PAYC</t>
  </si>
  <si>
    <t>US70450Y1038</t>
  </si>
  <si>
    <t>PayPal Holdings. Inc.</t>
  </si>
  <si>
    <t>https://www.moex.com/ru/marketdata/#/mode=instrument&amp;secid=PYPL-RM&amp;boardgroupid=1258&amp;mode_type=history&amp;date_from=2025-04-28</t>
  </si>
  <si>
    <t>https://ru.investing.com/equities/paypal-holdings-inc-historical-data</t>
  </si>
  <si>
    <t>PYPL</t>
  </si>
  <si>
    <t>Электронная платёжная система</t>
  </si>
  <si>
    <t>US69318G1067</t>
  </si>
  <si>
    <t>PBF Energy Ord Shs Class A</t>
  </si>
  <si>
    <t>https://www.moex.com/ru/marketdata/#/mode=instrument&amp;secid=PBF-RM&amp;boardgroupid=1258&amp;mode_type=history&amp;date_from=2025-07-28</t>
  </si>
  <si>
    <t>https://ru.investing.com/equities/pbf-energy-inc-historical-data</t>
  </si>
  <si>
    <t>PBF</t>
  </si>
  <si>
    <t>US70614W1009</t>
  </si>
  <si>
    <t>Peloton Interact ORD SHS CL A</t>
  </si>
  <si>
    <t>https://www.moex.com/ru/marketdata/#/mode=instrument&amp;secid=PTON-RM&amp;boardgroupid=1258&amp;mode_type=history&amp;date_from=2025-07-28</t>
  </si>
  <si>
    <t>https://ru.investing.com/equities/peloton-interactive-inc-historical-data</t>
  </si>
  <si>
    <t>PTON</t>
  </si>
  <si>
    <t>US7075691094</t>
  </si>
  <si>
    <t>Penn National Gaming ORD SHS</t>
  </si>
  <si>
    <t>https://www.moex.com/ru/marketdata/#/mode=instrument&amp;secid=PENN-RM&amp;boardgroupid=1258&amp;mode_type=history&amp;date_from=2025-07-28</t>
  </si>
  <si>
    <t>https://ru.investing.com/equities/penn-national-gaming-inc-historical-data</t>
  </si>
  <si>
    <t>PENN</t>
  </si>
  <si>
    <t>US7127041058</t>
  </si>
  <si>
    <t>Peoples United Financial Ord S</t>
  </si>
  <si>
    <t>https://www.moex.com/ru/marketdata/#/mode=instrument&amp;secid=PBCT-RM&amp;boardgroupid=1258&amp;mode_type=history&amp;date_from=2025-07-28</t>
  </si>
  <si>
    <t>https://ru.investing.com/equities/peoples-united-financial-historical-data</t>
  </si>
  <si>
    <t>PBCT</t>
  </si>
  <si>
    <t>US7134481081</t>
  </si>
  <si>
    <t>PepsiCo</t>
  </si>
  <si>
    <t>https://www.moex.com/ru/marketdata/#/mode=instrument&amp;secid=PEP-RM&amp;boardgroupid=1258&amp;mode_type=history&amp;date_from=2025-04-28</t>
  </si>
  <si>
    <t>https://ru.investing.com/equities/pepsico-historical-data</t>
  </si>
  <si>
    <t>PEP</t>
  </si>
  <si>
    <t>Произодство напитков и сопутствующих услуг</t>
  </si>
  <si>
    <t>US71377A1034</t>
  </si>
  <si>
    <t>Performance Food Gr Com ORDSHS</t>
  </si>
  <si>
    <t>https://www.moex.com/ru/marketdata/#/mode=instrument&amp;secid=PFGC-RM&amp;boardgroupid=1258&amp;mode_type=history&amp;date_from=2025-07-28</t>
  </si>
  <si>
    <t>https://ru.investing.com/equities/performance-food-group-co-historical-data</t>
  </si>
  <si>
    <t>PFGC</t>
  </si>
  <si>
    <t>US7170811035</t>
  </si>
  <si>
    <t>Pfizer Inc.</t>
  </si>
  <si>
    <t>https://www.moex.com/ru/marketdata/#/mode=instrument&amp;secid=PFE-RM&amp;boardgroupid=1258&amp;mode_type=history&amp;date_from=2025-04-28</t>
  </si>
  <si>
    <t>https://ru.investing.com/equities/pfizer-historical-data</t>
  </si>
  <si>
    <t>PFE</t>
  </si>
  <si>
    <t>US69331C1080</t>
  </si>
  <si>
    <t>PG&amp;E CorporationORD SHS</t>
  </si>
  <si>
    <t>https://www.moex.com/ru/marketdata/#/mode=instrument&amp;secid=PCG-RM&amp;boardgroupid=1258&amp;mode_type=history&amp;date_from=2025-07-28</t>
  </si>
  <si>
    <t>https://ru.investing.com/equities/pacific-gas-electric-historical-data</t>
  </si>
  <si>
    <t>PCG</t>
  </si>
  <si>
    <t>US7181721090</t>
  </si>
  <si>
    <t>Philip Morris International Inc.</t>
  </si>
  <si>
    <t>https://www.moex.com/ru/marketdata/#/mode=instrument&amp;secid=PM-RM&amp;boardgroupid=1258&amp;mode_type=history&amp;date_from=2025-05-01</t>
  </si>
  <si>
    <t>https://ru.investing.com/equities/philip-morris-intl-historical-data</t>
  </si>
  <si>
    <t>PM</t>
  </si>
  <si>
    <t>Произодство табачной продукции  и сопутствующих услуг</t>
  </si>
  <si>
    <t>US7185461040</t>
  </si>
  <si>
    <t>PHILLIPS 66</t>
  </si>
  <si>
    <t>https://www.moex.com/ru/marketdata/#/mode=instrument&amp;secid=PSX-RM&amp;boardgroupid=1258&amp;mode_type=history&amp;date_from=2025-04-28</t>
  </si>
  <si>
    <t>https://ru.investing.com/equities/phillips-66-ltd-historical-data</t>
  </si>
  <si>
    <t>PSX</t>
  </si>
  <si>
    <t>Энергетическая компания, транспортировка и торговля нефтью, нефтепродуктами.</t>
  </si>
  <si>
    <t>US72352L1061</t>
  </si>
  <si>
    <t>Pinterest</t>
  </si>
  <si>
    <t>https://www.moex.com/ru/marketdata/#/mode=instrument&amp;secid=PINS-RM&amp;boardgroupid=1258&amp;mode_type=history&amp;date_from=2025-04-28</t>
  </si>
  <si>
    <t>https://ru.investing.com/equities/pinterest-inc-historical-data</t>
  </si>
  <si>
    <t>PINS</t>
  </si>
  <si>
    <t>Социальный интернет-сервис</t>
  </si>
  <si>
    <t>US7237871071</t>
  </si>
  <si>
    <t>Pioneer Natural Resources ODSH</t>
  </si>
  <si>
    <t>https://www.moex.com/ru/marketdata/#/mode=instrument&amp;secid=PXD-RM&amp;boardgroupid=1258&amp;mode_type=history&amp;date_from=2025-07-28</t>
  </si>
  <si>
    <t>https://ru.investing.com/equities/pioneer-natural-resources-historical-data</t>
  </si>
  <si>
    <t>PXD</t>
  </si>
  <si>
    <t>US7244791007</t>
  </si>
  <si>
    <t>Pitney Bowes Inc. ORD SHS</t>
  </si>
  <si>
    <t>https://www.moex.com/ru/marketdata/#/mode=instrument&amp;secid=PBI-RM&amp;boardgroupid=1258&amp;mode_type=history&amp;date_from=2025-07-28</t>
  </si>
  <si>
    <t>https://ru.investing.com/equities/pitney-bowes-inc-historical-data</t>
  </si>
  <si>
    <t>PBI</t>
  </si>
  <si>
    <t>US72703H1014</t>
  </si>
  <si>
    <t>Planet Fitness ORD SHS CL A</t>
  </si>
  <si>
    <t>https://www.moex.com/ru/marketdata/#/mode=instrument&amp;secid=PLNT-RM&amp;boardgroupid=1258&amp;mode_type=history&amp;date_from=2025-07-28</t>
  </si>
  <si>
    <t>https://ru.investing.com/equities/planet-fitness-inc-historical-data</t>
  </si>
  <si>
    <t>PLNT</t>
  </si>
  <si>
    <t>US72919P2020</t>
  </si>
  <si>
    <t>Plug Power Ord Shs</t>
  </si>
  <si>
    <t>https://www.moex.com/ru/marketdata/#/mode=instrument&amp;secid=PLUG-RM&amp;boardgroupid=1258&amp;mode_type=history&amp;date_from=2025-07-28</t>
  </si>
  <si>
    <t>https://ru.investing.com/equities/plug-power-historical-data</t>
  </si>
  <si>
    <t>PLUG</t>
  </si>
  <si>
    <t>US6934751057</t>
  </si>
  <si>
    <t>PNC Finan Service Group ORDSHS</t>
  </si>
  <si>
    <t>https://www.moex.com/ru/marketdata/#/mode=instrument&amp;secid=PNC-RM&amp;boardgroupid=1258&amp;mode_type=history&amp;date_from=2025-07-28</t>
  </si>
  <si>
    <t>https://ru.investing.com/equities/pnc-fin-serv-historical-data</t>
  </si>
  <si>
    <t>PNC</t>
  </si>
  <si>
    <t>US73278L1052</t>
  </si>
  <si>
    <t>Pool Corporation ORD SHS</t>
  </si>
  <si>
    <t>https://www.moex.com/ru/marketdata/#/mode=instrument&amp;secid=POOL-RM&amp;boardgroupid=1258&amp;mode_type=history&amp;date_from=2025-07-28</t>
  </si>
  <si>
    <t>https://ru.investing.com/equities/pool-corp-historical-data</t>
  </si>
  <si>
    <t>POOL</t>
  </si>
  <si>
    <t>US6935061076</t>
  </si>
  <si>
    <t>PPG Industries Ord Shs</t>
  </si>
  <si>
    <t>https://www.moex.com/ru/marketdata/#/mode=instrument&amp;secid=PPG-RM&amp;boardgroupid=1258&amp;mode_type=history&amp;date_from=2025-07-28</t>
  </si>
  <si>
    <t>https://ru.investing.com/equities/ppg-industries-historical-data</t>
  </si>
  <si>
    <t>PPG</t>
  </si>
  <si>
    <t>US69351T1060</t>
  </si>
  <si>
    <t>PPL Corporation ORD SHS</t>
  </si>
  <si>
    <t>https://www.moex.com/ru/marketdata/#/mode=instrument&amp;secid=PPL-RM&amp;boardgroupid=1258&amp;mode_type=history&amp;date_from=2025-07-28</t>
  </si>
  <si>
    <t>https://ru.investing.com/equities/ppl-corp-historical-data</t>
  </si>
  <si>
    <t>PPL</t>
  </si>
  <si>
    <t>US74251V1026</t>
  </si>
  <si>
    <t>PRINCIPAL FINANCIAL GRO ORDSHS</t>
  </si>
  <si>
    <t>https://www.moex.com/ru/marketdata/#/mode=instrument&amp;secid=PFG-RM&amp;boardgroupid=1258&amp;mode_type=history&amp;date_from=2025-07-28</t>
  </si>
  <si>
    <t>https://ru.investing.com/equities/principal-fin-historical-data</t>
  </si>
  <si>
    <t>PFG</t>
  </si>
  <si>
    <t>US7437131094</t>
  </si>
  <si>
    <t>Proto Labs</t>
  </si>
  <si>
    <t>PRLB</t>
  </si>
  <si>
    <t>IT-компания, производитель цифровых прототипов и деталей по заказу</t>
  </si>
  <si>
    <t>US7443201022</t>
  </si>
  <si>
    <t>Prudential Financial Inc ORDSH</t>
  </si>
  <si>
    <t>https://www.moex.com/ru/marketdata/#/mode=instrument&amp;secid=PRU-RM&amp;boardgroupid=1258&amp;mode_type=history&amp;date_from=2025-07-28</t>
  </si>
  <si>
    <t>https://ru.investing.com/equities/prudential-fin-historical-data</t>
  </si>
  <si>
    <t>PRU</t>
  </si>
  <si>
    <t>US69370C1009</t>
  </si>
  <si>
    <t>PTC Inc. ORD SHS</t>
  </si>
  <si>
    <t>https://www.moex.com/ru/marketdata/#/mode=instrument&amp;secid=PTC-RM&amp;boardgroupid=1258&amp;mode_type=history&amp;date_from=2025-07-28</t>
  </si>
  <si>
    <t>https://ru.investing.com/equities/ptc-historical-data</t>
  </si>
  <si>
    <t>PTC</t>
  </si>
  <si>
    <t>US7445731067</t>
  </si>
  <si>
    <t>Public Serv Enterp Grp ORDSH</t>
  </si>
  <si>
    <t>https://www.moex.com/ru/marketdata/#/mode=instrument&amp;secid=PEG-RM&amp;boardgroupid=1258&amp;mode_type=history&amp;date_from=2025-07-28</t>
  </si>
  <si>
    <t>https://ru.investing.com/equities/publ-svc-enter-historical-data</t>
  </si>
  <si>
    <t>PEG</t>
  </si>
  <si>
    <t>US7458671010</t>
  </si>
  <si>
    <t>Pultegroup, Inc. Ordshs</t>
  </si>
  <si>
    <t>https://www.moex.com/ru/marketdata/#/mode=instrument&amp;secid=PHM-RM&amp;boardgroupid=1258&amp;mode_type=history&amp;date_from=2025-07-28</t>
  </si>
  <si>
    <t>https://ru.investing.com/equities/pulte-homes-inc-historical-data</t>
  </si>
  <si>
    <t>PHM</t>
  </si>
  <si>
    <t>US74624M1027</t>
  </si>
  <si>
    <t>Pure Storage, Inc. ORDSHS CL A</t>
  </si>
  <si>
    <t>https://www.moex.com/ru/marketdata/#/mode=instrument&amp;secid=PSTG-RM&amp;boardgroupid=1258&amp;mode_type=history&amp;date_from=2025-07-28</t>
  </si>
  <si>
    <t>https://ru.investing.com/equities/pure-storage-inc-historical-data</t>
  </si>
  <si>
    <t>PSTG</t>
  </si>
  <si>
    <t>US6936561009</t>
  </si>
  <si>
    <t>PVH Corp.ORD SHS</t>
  </si>
  <si>
    <t>https://www.moex.com/ru/marketdata/#/mode=instrument&amp;secid=PVH-RM&amp;boardgroupid=1258&amp;mode_type=history&amp;date_from=2025-07-28</t>
  </si>
  <si>
    <t>https://ru.investing.com/equities/pvh-historical-data</t>
  </si>
  <si>
    <t>PVH</t>
  </si>
  <si>
    <t>US74736K1016</t>
  </si>
  <si>
    <t>Qorvo, Inc.</t>
  </si>
  <si>
    <t>https://www.moex.com/ru/marketdata/#/mode=instrument&amp;secid=QRVO-RM&amp;boardgroupid=1258&amp;mode_type=history&amp;date_from=2025-07-28</t>
  </si>
  <si>
    <t>https://ru.investing.com/equities/qorvo-inc-historical-data</t>
  </si>
  <si>
    <t>QRVO</t>
  </si>
  <si>
    <t>US7475251036</t>
  </si>
  <si>
    <t>QUALCOMM</t>
  </si>
  <si>
    <t>https://www.moex.com/ru/marketdata/#/mode=instrument&amp;secid=QCOM-RM&amp;boardgroupid=1258&amp;mode_type=history&amp;date_from=2025-04-28</t>
  </si>
  <si>
    <t>https://ru.investing.com/equities/qualcomm-inc-historical-data</t>
  </si>
  <si>
    <t>QCOM</t>
  </si>
  <si>
    <t>US7476012015</t>
  </si>
  <si>
    <t>Qualtrics Internat ORD SHS A</t>
  </si>
  <si>
    <t>https://www.moex.com/ru/marketdata/#/mode=instrument&amp;secid=XM-RM&amp;boardgroupid=1258&amp;mode_type=history&amp;date_from=2025-07-28</t>
  </si>
  <si>
    <t>https://ru.investing.com/equities/qualtrics-international-inc-historical-data</t>
  </si>
  <si>
    <t>XM</t>
  </si>
  <si>
    <t>US74762E1029</t>
  </si>
  <si>
    <t>Quanta Services, Inc. ORD SHS</t>
  </si>
  <si>
    <t>https://www.moex.com/ru/marketdata/#/mode=instrument&amp;secid=PWR-RM&amp;boardgroupid=1258&amp;mode_type=history&amp;date_from=2025-07-28</t>
  </si>
  <si>
    <t>https://ru.investing.com/equities/quanta-services-historical-data</t>
  </si>
  <si>
    <t>PWR</t>
  </si>
  <si>
    <t>US74767V1098</t>
  </si>
  <si>
    <t>QuantumScape Corp ORD SHS CL A</t>
  </si>
  <si>
    <t>https://www.moex.com/ru/marketdata/#/mode=instrument&amp;secid=QS-RM&amp;boardgroupid=1258&amp;mode_type=history&amp;date_from=2025-07-28</t>
  </si>
  <si>
    <t>https://ru.investing.com/equities/kensington-capital-acquisition-historical-data</t>
  </si>
  <si>
    <t>QS</t>
  </si>
  <si>
    <t>US74834L1008</t>
  </si>
  <si>
    <t>QUEST DIAGNOSTICS INCOR ORDSHS</t>
  </si>
  <si>
    <t>https://www.moex.com/ru/marketdata/#/mode=instrument&amp;secid=DGX-RM&amp;boardgroupid=1258&amp;mode_type=history&amp;date_from=2025-07-28</t>
  </si>
  <si>
    <t>https://ru.investing.com/equities/quest-diag-historical-data</t>
  </si>
  <si>
    <t>DGX</t>
  </si>
  <si>
    <t>US74838J1016</t>
  </si>
  <si>
    <t>Quidel Ord Shs</t>
  </si>
  <si>
    <t>https://www.moex.com/ru/marketdata/#/mode=instrument&amp;secid=QDEL-RM&amp;boardgroupid=1258&amp;mode_type=history&amp;date_from=2025-07-28</t>
  </si>
  <si>
    <t>https://ru.investing.com/equities/quidel-corp-historical-data?cid=972644</t>
  </si>
  <si>
    <t>QDEL</t>
  </si>
  <si>
    <t>US2197981051</t>
  </si>
  <si>
    <t>QuidelOrtho</t>
  </si>
  <si>
    <t>Медицина,производитель диагностических медицинских продуктов</t>
  </si>
  <si>
    <t>US74915M1009</t>
  </si>
  <si>
    <t>Qurate Retail ORD SHS SER A</t>
  </si>
  <si>
    <t>https://www.moex.com/ru/marketdata/#/mode=instrument&amp;secid=QRTEA-RM&amp;boardgroupid=1258&amp;mode_type=history&amp;date_from=2025-07-28</t>
  </si>
  <si>
    <t>https://ru.investing.com/equities/liberty-media-inter-historical-data?cid=1214402</t>
  </si>
  <si>
    <t>QRTEA</t>
  </si>
  <si>
    <t>US7512121010</t>
  </si>
  <si>
    <t>Ralph Lauren Corporation</t>
  </si>
  <si>
    <t>https://www.moex.com/ru/marketdata/#/mode=instrument&amp;secid=RL-RM&amp;boardgroupid=1258&amp;mode_type=history&amp;date_from=2025-07-28</t>
  </si>
  <si>
    <t>https://ru.investing.com/equities/polo-ralph-laur-historical-data</t>
  </si>
  <si>
    <t>RL</t>
  </si>
  <si>
    <t>US75281A1097</t>
  </si>
  <si>
    <t>Range Resources Corp ORD SHS</t>
  </si>
  <si>
    <t>https://www.moex.com/ru/marketdata/#/mode=instrument&amp;secid=RRC-RM&amp;boardgroupid=1258&amp;mode_type=history&amp;date_from=2025-07-28</t>
  </si>
  <si>
    <t>https://ru.investing.com/equities/range-resources-corp-historical-data</t>
  </si>
  <si>
    <t>RRC</t>
  </si>
  <si>
    <t>US7547301090</t>
  </si>
  <si>
    <t>Raymond James Fin, Inc ORD SHS</t>
  </si>
  <si>
    <t>https://www.moex.com/ru/marketdata/#/mode=instrument&amp;secid=RJF-RM&amp;boardgroupid=1258&amp;mode_type=history&amp;date_from=2025-07-28</t>
  </si>
  <si>
    <t>https://ru.investing.com/equities/raymond-james-financial-inc-historical-data</t>
  </si>
  <si>
    <t>RJF</t>
  </si>
  <si>
    <t>US7561091049</t>
  </si>
  <si>
    <t>Realty Income</t>
  </si>
  <si>
    <t>O</t>
  </si>
  <si>
    <t>US75615P1030</t>
  </si>
  <si>
    <t>Reata</t>
  </si>
  <si>
    <t>RETA</t>
  </si>
  <si>
    <t>US75886F1075</t>
  </si>
  <si>
    <t>Regeneron Pharmaceuticals,Inc.</t>
  </si>
  <si>
    <t>https://www.moex.com/ru/marketdata/#/mode=instrument&amp;secid=REGN-RM&amp;boardgroupid=1258&amp;mode_type=history&amp;date_from=2025-07-28</t>
  </si>
  <si>
    <t>https://ru.investing.com/equities/regeneron-phar.-historical-data</t>
  </si>
  <si>
    <t>REGN</t>
  </si>
  <si>
    <t>US7591EP1005</t>
  </si>
  <si>
    <t>Regions Financial Ord Shs</t>
  </si>
  <si>
    <t>https://www.moex.com/ru/marketdata/#/mode=instrument&amp;secid=RF-RM&amp;boardgroupid=1258&amp;mode_type=history&amp;date_from=2025-07-28</t>
  </si>
  <si>
    <t>https://ru.investing.com/equities/regions-fin-historical-data</t>
  </si>
  <si>
    <t>RF</t>
  </si>
  <si>
    <t>US75972A3014</t>
  </si>
  <si>
    <t>Renewable Energy Ord Shs</t>
  </si>
  <si>
    <t>https://www.moex.com/ru/marketdata/#/mode=instrument&amp;secid=REGI-RM&amp;boardgroupid=1258&amp;mode_type=history&amp;date_from=2025-07-28</t>
  </si>
  <si>
    <t>https://ru.investing.com/equities/renewable-energy-group-inc-historical-data</t>
  </si>
  <si>
    <t>REGI</t>
  </si>
  <si>
    <t>US7607591002</t>
  </si>
  <si>
    <t>Republic Services, Inc ORD SHS</t>
  </si>
  <si>
    <t>https://www.moex.com/ru/marketdata/#/mode=instrument&amp;secid=RSG-RM&amp;boardgroupid=1258&amp;mode_type=history&amp;date_from=2025-07-28</t>
  </si>
  <si>
    <t>https://ru.investing.com/equities/republic-services-inc-historical-data</t>
  </si>
  <si>
    <t>RSG</t>
  </si>
  <si>
    <t>Утилизация и удаление отходов</t>
  </si>
  <si>
    <t>US7611521078</t>
  </si>
  <si>
    <t>ResMed Inc. ORD SHS</t>
  </si>
  <si>
    <t>https://www.moex.com/ru/marketdata/#/mode=instrument&amp;secid=RMD-RM&amp;boardgroupid=1258&amp;mode_type=history&amp;date_from=2025-07-28</t>
  </si>
  <si>
    <t>https://ru.investing.com/equities/resmed-inc-historical-data</t>
  </si>
  <si>
    <t>RMD</t>
  </si>
  <si>
    <t>US76156B1070</t>
  </si>
  <si>
    <t>Revolve Group, Inc. ORD SHS A</t>
  </si>
  <si>
    <t>https://www.moex.com/ru/marketdata/#/mode=instrument&amp;secid=RVLV-RM&amp;boardgroupid=1258&amp;mode_type=history&amp;date_from=2025-07-28</t>
  </si>
  <si>
    <t>https://ru.investing.com/equities/revolve-group-historical-data</t>
  </si>
  <si>
    <t>RVLV</t>
  </si>
  <si>
    <t>US7140461093</t>
  </si>
  <si>
    <t>Revvity, Inc. ORD SHS</t>
  </si>
  <si>
    <t>https://www.moex.com/ru/marketdata/#/mode=instrument&amp;secid=RVTY-RM&amp;boardgroupid=1258&amp;mode_type=history&amp;date_from=2025-07-28</t>
  </si>
  <si>
    <t>https://ru.investing.com/equities/perkinelmer-historical-data</t>
  </si>
  <si>
    <t>RVTY</t>
  </si>
  <si>
    <t>US76243J1051</t>
  </si>
  <si>
    <t>Rhythm</t>
  </si>
  <si>
    <t>RYTM</t>
  </si>
  <si>
    <t>Биофармацевтическая компания</t>
  </si>
  <si>
    <t>US7672921050</t>
  </si>
  <si>
    <t>Riot</t>
  </si>
  <si>
    <t>RIOT</t>
  </si>
  <si>
    <t>IT компания, разработчик видеоигр, издатель, и организатор киберспортивных турниров</t>
  </si>
  <si>
    <t>US76954A1034</t>
  </si>
  <si>
    <t>Rivian Automotive</t>
  </si>
  <si>
    <t>RIVN</t>
  </si>
  <si>
    <t>Производитель электромобилей</t>
  </si>
  <si>
    <t>US7703231032</t>
  </si>
  <si>
    <t>Robert Half Inc. ORDSHS</t>
  </si>
  <si>
    <t>https://www.moex.com/ru/marketdata/#/mode=instrument&amp;secid=RHI-RM&amp;boardgroupid=50&amp;mode_type=history&amp;date_from=2025-07-28</t>
  </si>
  <si>
    <t>https://ru.investing.com/equities/robert-half-intl-historical-data</t>
  </si>
  <si>
    <t>RHI</t>
  </si>
  <si>
    <t>US7707001027</t>
  </si>
  <si>
    <t>Robinhood</t>
  </si>
  <si>
    <t>https://www.moex.com/ru/marketdata/#/mode=instrument&amp;secid=HOOD-RM&amp;boardgroupid=1258&amp;mode_type=history&amp;date_from=2025-11-28</t>
  </si>
  <si>
    <t>https://ru.investing.com/equities/robinhood-markets-historical-data</t>
  </si>
  <si>
    <t>HOOD</t>
  </si>
  <si>
    <t>Финансовые услуги</t>
  </si>
  <si>
    <t>US7710491033</t>
  </si>
  <si>
    <t>Roblox</t>
  </si>
  <si>
    <t>RBLX</t>
  </si>
  <si>
    <t>IT компания, разработке компьютерных игр</t>
  </si>
  <si>
    <t>US7731221062</t>
  </si>
  <si>
    <t>Rocket Lab</t>
  </si>
  <si>
    <t>RKLB</t>
  </si>
  <si>
    <t>Аэрокосмическая компания</t>
  </si>
  <si>
    <t>US7739031091</t>
  </si>
  <si>
    <t>Rockwell Automat Inc ORD SHS</t>
  </si>
  <si>
    <t>https://www.moex.com/ru/marketdata/#/mode=instrument&amp;secid=ROK-RM&amp;boardgroupid=50&amp;mode_type=history&amp;date_from=2025-07-28</t>
  </si>
  <si>
    <t>https://ru.investing.com/equities/rockwell-automat-historical-data</t>
  </si>
  <si>
    <t>ROK</t>
  </si>
  <si>
    <t>US77543R1023</t>
  </si>
  <si>
    <t>Roku</t>
  </si>
  <si>
    <t>https://www.moex.com/ru/marketdata/#/mode=instrument&amp;secid=ROKU-RM&amp;boardgroupid=1258&amp;mode_type=history&amp;date_from=2025-04-28</t>
  </si>
  <si>
    <t>https://ru.investing.com/equities/roku-historical-data</t>
  </si>
  <si>
    <t>Электроника, цифровые медиаплееры</t>
  </si>
  <si>
    <t>US7757111049</t>
  </si>
  <si>
    <t>Rollins, Inc. ORDSHS</t>
  </si>
  <si>
    <t>https://www.moex.com/ru/marketdata/#/mode=instrument&amp;secid=ROL-RM&amp;boardgroupid=50&amp;mode_type=history&amp;date_from=2025-07-28</t>
  </si>
  <si>
    <t>https://ru.investing.com/equities/rollins-inc-historical-data</t>
  </si>
  <si>
    <t>ROL</t>
  </si>
  <si>
    <t>US7766961061</t>
  </si>
  <si>
    <t>Roper Technologies Ord Shs</t>
  </si>
  <si>
    <t>https://www.moex.com/ru/marketdata/#/mode=instrument&amp;secid=ROP-RM&amp;boardgroupid=50&amp;mode_type=history&amp;date_from=2025-07-28</t>
  </si>
  <si>
    <t>https://ru.investing.com/equities/roper-industries-historical-data</t>
  </si>
  <si>
    <t>ROP</t>
  </si>
  <si>
    <t>US7782961038</t>
  </si>
  <si>
    <t>Ross Stores, Inc. ORD SHS</t>
  </si>
  <si>
    <t>https://www.moex.com/ru/marketdata/#/mode=instrument&amp;secid=ROST-RM&amp;boardgroupid=50&amp;mode_type=history&amp;date_from=2025-07-28</t>
  </si>
  <si>
    <t>https://ru.investing.com/equities/ross-stores-inc-historical-data</t>
  </si>
  <si>
    <t>ROST</t>
  </si>
  <si>
    <t>US75513E1010</t>
  </si>
  <si>
    <t>RTX Corporation</t>
  </si>
  <si>
    <t>https://www.moex.com/ru/marketdata/#/mode=instrument&amp;secid=RTX-RM&amp;boardgroupid=1258&amp;mode_type=history&amp;date_from=2025-04-28</t>
  </si>
  <si>
    <t>https://ru.investing.com/equities/united-tech-historical-data</t>
  </si>
  <si>
    <t>RTX</t>
  </si>
  <si>
    <t>US78409V1044</t>
  </si>
  <si>
    <t xml:space="preserve">S&amp;P Global </t>
  </si>
  <si>
    <t>https://www.moex.com/ru/marketdata/#/mode=instrument&amp;secid=SPGI-RM&amp;boardgroupid=1258&amp;mode_type=history&amp;date_from=2025-04-28</t>
  </si>
  <si>
    <t>https://ru.investing.com/equities/mcgraw-hill-historical-data</t>
  </si>
  <si>
    <t>SPGI</t>
  </si>
  <si>
    <t>Медиахолдинг, финансовые и бизнес-услуги</t>
  </si>
  <si>
    <t>US79466L3024</t>
  </si>
  <si>
    <t xml:space="preserve">Salesforce, Inc. </t>
  </si>
  <si>
    <t>https://www.moex.com/ru/marketdata/#/mode=instrument&amp;secid=CRM-RM&amp;boardgroupid=1258&amp;mode_type=history&amp;date_from=2025-04-28</t>
  </si>
  <si>
    <t>https://ru.investing.com/equities/salesforce-com-historical-data</t>
  </si>
  <si>
    <t>CRM</t>
  </si>
  <si>
    <t>IT компания, CRM системы для самостоятельной разработки прложений.</t>
  </si>
  <si>
    <t>US8036071004</t>
  </si>
  <si>
    <t>Sarepta Therapeutics</t>
  </si>
  <si>
    <t>https://www.moex.com/ru/marketdata/#/mode=instrument&amp;secid=SRPT-RM&amp;boardgroupid=1258&amp;mode_type=history&amp;date_from=2025-04-28</t>
  </si>
  <si>
    <t>https://ru.investing.com/equities/sarepta-historical-data</t>
  </si>
  <si>
    <t>SRPT</t>
  </si>
  <si>
    <t>Фармацевтическая компания,медицинские исследования и разработка лекарств</t>
  </si>
  <si>
    <t>US80810D1037</t>
  </si>
  <si>
    <t xml:space="preserve">Schrodinger </t>
  </si>
  <si>
    <t>SDGR</t>
  </si>
  <si>
    <t>IT компания, разработка научного программного обеспечения</t>
  </si>
  <si>
    <t>US81211K1007</t>
  </si>
  <si>
    <t>Sealed Air Corporation ORD SHS</t>
  </si>
  <si>
    <t>https://www.moex.com/ru/marketdata/#/mode=instrument&amp;secid=SEE-RM&amp;boardgroupid=50&amp;mode_type=history&amp;date_from=2025-07-28</t>
  </si>
  <si>
    <t>https://ru.investing.com/equities/sealed-air-historical-data</t>
  </si>
  <si>
    <t>SEE</t>
  </si>
  <si>
    <t>US8168511090</t>
  </si>
  <si>
    <t>SEMPRA ORD SHS</t>
  </si>
  <si>
    <t>https://www.moex.com/ru/marketdata/#/mode=instrument&amp;secid=SRE-RM&amp;boardgroupid=50&amp;mode_type=history&amp;date_from=2025-07-28</t>
  </si>
  <si>
    <t>https://ru.investing.com/equities/sempra-energy-historical-data</t>
  </si>
  <si>
    <t>SRE</t>
  </si>
  <si>
    <t>US81730H1095</t>
  </si>
  <si>
    <t>SentinelOne, Inc. ORD SHS CL A</t>
  </si>
  <si>
    <t>https://www.moex.com/ru/marketdata/#/mode=instrument&amp;secid=S-RM&amp;boardgroupid=50&amp;mode_type=history&amp;date_from=2025-07-28</t>
  </si>
  <si>
    <t>https://ru.investing.com/equities/sentinelone-historical-data</t>
  </si>
  <si>
    <t>S</t>
  </si>
  <si>
    <t>US81762P1021</t>
  </si>
  <si>
    <t>ServiceNow, Inc.</t>
  </si>
  <si>
    <t>https://www.moex.com/ru/marketdata/#/mode=instrument&amp;secid=NOW-RM&amp;boardgroupid=50&amp;mode_type=history&amp;date_from=2025-07-28</t>
  </si>
  <si>
    <t>https://ru.investing.com/equities/servicenow-inc-historical-data</t>
  </si>
  <si>
    <t>NOW</t>
  </si>
  <si>
    <t>US7802593050</t>
  </si>
  <si>
    <t>Shell</t>
  </si>
  <si>
    <t>SHEL</t>
  </si>
  <si>
    <t>Нефтегазовая компания</t>
  </si>
  <si>
    <t>US82312B1061</t>
  </si>
  <si>
    <t>Shenandoah Telecom</t>
  </si>
  <si>
    <t>SHEN</t>
  </si>
  <si>
    <t>US8243481061</t>
  </si>
  <si>
    <t>Sherwin Williams Ord Shs</t>
  </si>
  <si>
    <t>https://www.moex.com/ru/marketdata/#/mode=instrument&amp;secid=SHW-RM&amp;boardgroupid=50&amp;mode_type=history&amp;date_from=2025-07-28</t>
  </si>
  <si>
    <t>https://ru.investing.com/equities/sherwinwilliams-historical-data</t>
  </si>
  <si>
    <t>SHW</t>
  </si>
  <si>
    <t>US82489W1071</t>
  </si>
  <si>
    <t>Shoals Technologies ORD SHS A</t>
  </si>
  <si>
    <t>https://www.moex.com/ru/marketdata/#/mode=instrument&amp;secid=SHLS-RM&amp;boardgroupid=1258&amp;mode_type=history&amp;date_from=2025-07-28</t>
  </si>
  <si>
    <t>https://ru.investing.com/equities/shoals-technologies-group-historical-data</t>
  </si>
  <si>
    <t>SHLS</t>
  </si>
  <si>
    <t>US82837P4081</t>
  </si>
  <si>
    <t>Silvergate Capital Co ORDSHS A</t>
  </si>
  <si>
    <t>https://www.moex.com/ru/marketdata/#/mode=instrument&amp;secid=SI-RM&amp;boardgroupid=50&amp;mode_type=history&amp;date_from=2025-07-28</t>
  </si>
  <si>
    <t>https://ru.investing.com/equities/silvergate-capital-corp-historical-data</t>
  </si>
  <si>
    <t>SI</t>
  </si>
  <si>
    <t>US8288061091</t>
  </si>
  <si>
    <t>Simon Property</t>
  </si>
  <si>
    <t>SPG</t>
  </si>
  <si>
    <t>US8305661055</t>
  </si>
  <si>
    <t>SKECHERS USA INC ORDSHS A</t>
  </si>
  <si>
    <t>https://www.moex.com/ru/marketdata/#/mode=instrument&amp;secid=SKX-RM&amp;boardgroupid=50&amp;mode_type=history&amp;date_from=2025-07-28</t>
  </si>
  <si>
    <t>https://ru.investing.com/equities/skechers-usa-inc-historical-data</t>
  </si>
  <si>
    <t>SKX</t>
  </si>
  <si>
    <t>US83067L2088</t>
  </si>
  <si>
    <t>Skillz Inc. ORD SHS CL A</t>
  </si>
  <si>
    <t>https://www.moex.com/ru/marketdata/#/mode=instrument&amp;secid=SKLZ-RM&amp;boardgroupid=1258&amp;mode_type=history&amp;date_from=2025-07-28</t>
  </si>
  <si>
    <t>https://ru.investing.com/equities/flying-eagle-acquisition-corp-historical-data</t>
  </si>
  <si>
    <t>SKLZ</t>
  </si>
  <si>
    <t>US83088M1027</t>
  </si>
  <si>
    <t>Skyworks Solutions ORD SHS</t>
  </si>
  <si>
    <t>https://www.moex.com/ru/marketdata/#/mode=instrument&amp;secid=SWKS-RM&amp;boardgroupid=1258&amp;mode_type=history&amp;date_from=2025-07-28</t>
  </si>
  <si>
    <t>https://ru.investing.com/equities/skyworks-solutions-inc-historical-data</t>
  </si>
  <si>
    <t>SWKS</t>
  </si>
  <si>
    <t>US83200N1037</t>
  </si>
  <si>
    <t>Smartsheet Inc. ORD SHS CL A</t>
  </si>
  <si>
    <t>https://www.moex.com/ru/marketdata/#/mode=instrument&amp;secid=SMAR-RM&amp;boardgroupid=50&amp;mode_type=history&amp;date_from=2025-07-28</t>
  </si>
  <si>
    <t>https://ru.investing.com/equities/smartsheet-inc-historical-data</t>
  </si>
  <si>
    <t>SMAR</t>
  </si>
  <si>
    <t>US83304A1060</t>
  </si>
  <si>
    <t>Snap Inc.</t>
  </si>
  <si>
    <t>https://www.moex.com/ru/marketdata/#/mode=instrument&amp;secid=SNAP-RM&amp;boardgroupid=1258&amp;mode_type=history&amp;date_from=2025-07-28</t>
  </si>
  <si>
    <t>https://ru.investing.com/equities/snap-inc-historical-data</t>
  </si>
  <si>
    <t>SNAP</t>
  </si>
  <si>
    <t>US8330341012</t>
  </si>
  <si>
    <t>Snap-on Incorporated ORD SHS</t>
  </si>
  <si>
    <t>https://www.moex.com/ru/marketdata/#/mode=instrument&amp;secid=SNA-RM&amp;boardgroupid=50&amp;mode_type=history&amp;date_from=2025-07-28</t>
  </si>
  <si>
    <t>https://ru.investing.com/equities/snapon-inc-historical-data</t>
  </si>
  <si>
    <t>SNA</t>
  </si>
  <si>
    <t>US83417M1045</t>
  </si>
  <si>
    <t>Solaredge Technologies Ord Shs</t>
  </si>
  <si>
    <t>https://www.moex.com/ru/marketdata/#/mode=instrument&amp;secid=SEDG-RM&amp;boardgroupid=1258&amp;mode_type=history&amp;date_from=2025-07-28</t>
  </si>
  <si>
    <t>https://ru.investing.com/equities/solaredge-technologies-inc-historical-data</t>
  </si>
  <si>
    <t>SEDG</t>
  </si>
  <si>
    <t>US83417Q2049</t>
  </si>
  <si>
    <t>SolarWinds</t>
  </si>
  <si>
    <t>SWI</t>
  </si>
  <si>
    <t>IT компания, помышленное программное обеспечение для управления сетями</t>
  </si>
  <si>
    <t>US83422E2046</t>
  </si>
  <si>
    <t>Solid Biosciences Inc. ORD SHS</t>
  </si>
  <si>
    <t>https://www.moex.com/ru/marketdata/#/mode=instrument&amp;secid=SLDB-RM&amp;boardgroupid=1258&amp;mode_type=history&amp;date_from=2025-07-28</t>
  </si>
  <si>
    <t>https://ru.investing.com/equities/solid-biosciences-historical-data</t>
  </si>
  <si>
    <t>SLDB</t>
  </si>
  <si>
    <t>US83570H1086</t>
  </si>
  <si>
    <t>Sonos, Inc. ORD SHS</t>
  </si>
  <si>
    <t>https://www.moex.com/ru/marketdata/#/mode=instrument&amp;secid=SONO-RM&amp;boardgroupid=1258&amp;mode_type=history&amp;date_from=2025-07-28</t>
  </si>
  <si>
    <t>https://ru.investing.com/equities/sonos-inc-historical-data</t>
  </si>
  <si>
    <t>SONO</t>
  </si>
  <si>
    <t>US8385181081</t>
  </si>
  <si>
    <t>South Jersey Industries ORDSHS</t>
  </si>
  <si>
    <t>https://www.moex.com/ru/marketdata/#/mode=instrument&amp;secid=SJI-RM&amp;boardgroupid=1258&amp;mode_type=history&amp;date_from=2025-07-28</t>
  </si>
  <si>
    <t>https://ru.investing.com/equities/south-jersey-industries-inc-historical-data</t>
  </si>
  <si>
    <t>SJI</t>
  </si>
  <si>
    <t>US84265V1052</t>
  </si>
  <si>
    <t>Southern Copper Corporation</t>
  </si>
  <si>
    <t>https://www.moex.com/ru/marketdata/#/mode=instrument&amp;secid=SCCO-RM&amp;boardgroupid=1258&amp;mode_type=history&amp;date_from=2025-07-28</t>
  </si>
  <si>
    <t>https://ru.investing.com/equities/southern-copper-corp.-historical-data</t>
  </si>
  <si>
    <t>SCCO</t>
  </si>
  <si>
    <t>Перу</t>
  </si>
  <si>
    <t>US8447411088</t>
  </si>
  <si>
    <t>Southwest Airlines Co.</t>
  </si>
  <si>
    <t>https://www.moex.com/ru/marketdata/#/mode=instrument&amp;secid=LUV-RM&amp;boardgroupid=1258&amp;mode_type=history&amp;date_from=2025-07-28</t>
  </si>
  <si>
    <t>https://ru.investing.com/equities/sth-west-airlines-historical-data</t>
  </si>
  <si>
    <t>LUV</t>
  </si>
  <si>
    <t>US8454671095</t>
  </si>
  <si>
    <t>Southwestern Energy Company</t>
  </si>
  <si>
    <t>https://www.moex.com/ru/marketdata/#/mode=instrument&amp;secid=SWN-RM&amp;boardgroupid=1258&amp;mode_type=history&amp;date_from=2025-07-28</t>
  </si>
  <si>
    <t>https://ru.investing.com/equities/southwestern-energy-company-historical-data</t>
  </si>
  <si>
    <t>SWN</t>
  </si>
  <si>
    <t>US8485741099</t>
  </si>
  <si>
    <t>Spirit AeroSyst Hld ORD SHS A</t>
  </si>
  <si>
    <t>https://www.moex.com/ru/marketdata/#/mode=instrument&amp;secid=SPR-RM&amp;boardgroupid=1258&amp;mode_type=history&amp;date_from=2025-07-28</t>
  </si>
  <si>
    <t>https://ru.investing.com/equities/spirit-aerosystems-holdings-inc-historical-data</t>
  </si>
  <si>
    <t>SPR</t>
  </si>
  <si>
    <t>US8485771021</t>
  </si>
  <si>
    <t>SPIRIT AIRLINES INC ORDSHS</t>
  </si>
  <si>
    <t>https://www.moex.com/ru/marketdata/#/mode=instrument&amp;secid=SAVE-RM&amp;boardgroupid=1258&amp;mode_type=history&amp;date_from=2025-07-28</t>
  </si>
  <si>
    <t>https://ru.investing.com/equities/spirit-airlines-historical-data</t>
  </si>
  <si>
    <t>SAVE</t>
  </si>
  <si>
    <t>US8486371045</t>
  </si>
  <si>
    <t>Splunk Inc.</t>
  </si>
  <si>
    <t>https://www.moex.com/ru/marketdata/#/mode=instrument&amp;secid=SPLK-RM&amp;boardgroupid=1258&amp;mode_type=history&amp;date_from=2025-07-28</t>
  </si>
  <si>
    <t>https://ru.investing.com/equities/splunk-inc-historical-data</t>
  </si>
  <si>
    <t>SPLK</t>
  </si>
  <si>
    <t>LU1778762911</t>
  </si>
  <si>
    <t>Spotify Technology</t>
  </si>
  <si>
    <t>SPOT</t>
  </si>
  <si>
    <t>IT компания, цифровой музыкальный сервис</t>
  </si>
  <si>
    <t>US85208M1027</t>
  </si>
  <si>
    <t>Sprouts Farmers MarketORD SHS</t>
  </si>
  <si>
    <t>https://www.moex.com/ru/marketdata/#/mode=instrument&amp;secid=SFM-RM&amp;boardgroupid=1258&amp;mode_type=history&amp;date_from=2025-07-28</t>
  </si>
  <si>
    <t>https://ru.investing.com/equities/sprts-frmr-historical-data</t>
  </si>
  <si>
    <t>SFM</t>
  </si>
  <si>
    <t>US78467J1007</t>
  </si>
  <si>
    <t>SS&amp;C Technologies Hld ORDSHS</t>
  </si>
  <si>
    <t>https://www.moex.com/ru/marketdata/#/mode=instrument&amp;secid=SSNC-RM&amp;boardgroupid=1258&amp;mode_type=history&amp;date_from=2025-07-28</t>
  </si>
  <si>
    <t>SSNC</t>
  </si>
  <si>
    <t>US8545021011</t>
  </si>
  <si>
    <t>Stanley Black &amp; Decker ORD SHS</t>
  </si>
  <si>
    <t>https://www.moex.com/ru/marketdata/#/mode=instrument&amp;secid=SWK-RM&amp;boardgroupid=1258&amp;mode_type=history&amp;date_from=2025-07-28</t>
  </si>
  <si>
    <t>https://ru.investing.com/equities/stanley-works-historical-data</t>
  </si>
  <si>
    <t>SWK</t>
  </si>
  <si>
    <t>US8552441094</t>
  </si>
  <si>
    <t>Starbucks</t>
  </si>
  <si>
    <t>https://www.moex.com/ru/marketdata/#/mode=instrument&amp;secid=SBUX-RM&amp;boardgroupid=1258&amp;mode_type=history&amp;date_from=2025-04-28</t>
  </si>
  <si>
    <t>https://ru.investing.com/equities/starbucks-corp-historical-data</t>
  </si>
  <si>
    <t>SBUX</t>
  </si>
  <si>
    <t>Торговая отрасль, продаже кофе и одноимённая сеть кофеен</t>
  </si>
  <si>
    <t>US8574771031</t>
  </si>
  <si>
    <t>State Street Corporation</t>
  </si>
  <si>
    <t>https://www.moex.com/ru/marketdata/#/mode=instrument&amp;secid=STT-RM&amp;boardgroupid=1258&amp;mode_type=history&amp;date_from=2025-07-28</t>
  </si>
  <si>
    <t>https://ru.investing.com/equities/state-street-historical-data</t>
  </si>
  <si>
    <t>STT</t>
  </si>
  <si>
    <t>US8581191009</t>
  </si>
  <si>
    <t>STEEL DYNAMICS INC. ORDSHS</t>
  </si>
  <si>
    <t>https://www.moex.com/ru/marketdata/#/mode=instrument&amp;secid=STLD-RM&amp;boardgroupid=1258&amp;mode_type=history&amp;date_from=2025-07-28</t>
  </si>
  <si>
    <t>https://ru.investing.com/equities/steel-dynamics-historical-data</t>
  </si>
  <si>
    <t>STLD</t>
  </si>
  <si>
    <t>US8608971078</t>
  </si>
  <si>
    <t>Stitch Fix, Inc. ORD SHS CL A</t>
  </si>
  <si>
    <t>https://www.moex.com/ru/marketdata/#/mode=instrument&amp;secid=SFIX-RM&amp;boardgroupid=1258&amp;mode_type=history&amp;date_from=2025-07-28</t>
  </si>
  <si>
    <t>https://ru.investing.com/equities/stitch-fix-historical-data</t>
  </si>
  <si>
    <t>SFIX</t>
  </si>
  <si>
    <t>US86272C1036</t>
  </si>
  <si>
    <t>Strategic</t>
  </si>
  <si>
    <t>STRA</t>
  </si>
  <si>
    <t>Образовательные услуги</t>
  </si>
  <si>
    <t>US8636671013</t>
  </si>
  <si>
    <t>Stryker Corporation</t>
  </si>
  <si>
    <t>https://www.moex.com/ru/marketdata/#/mode=instrument&amp;secid=SYK-RM&amp;boardgroupid=1258&amp;mode_type=history&amp;date_from=2025-07-28</t>
  </si>
  <si>
    <t>https://ru.investing.com/equities/stryker-historical-data</t>
  </si>
  <si>
    <t>SYK</t>
  </si>
  <si>
    <t>US8641591081</t>
  </si>
  <si>
    <t>Sturm, R &amp; C</t>
  </si>
  <si>
    <t>RGR</t>
  </si>
  <si>
    <t>Производство огнестрельного оружия</t>
  </si>
  <si>
    <t>US86771W1053</t>
  </si>
  <si>
    <t>Sunrun Inc. ORD SHS</t>
  </si>
  <si>
    <t>https://www.moex.com/ru/marketdata/#/mode=instrument&amp;secid=RUN-RM&amp;boardgroupid=1258&amp;mode_type=history&amp;date_from=2025-07-28</t>
  </si>
  <si>
    <t>https://ru.investing.com/equities/sunrun-inc-historical-data</t>
  </si>
  <si>
    <t>RUN</t>
  </si>
  <si>
    <t>US78486Q1013</t>
  </si>
  <si>
    <t>SVB Financial Group ORD SHS</t>
  </si>
  <si>
    <t>https://www.moex.com/ru/marketdata/#/mode=instrument&amp;secid=SIVB-RM&amp;boardgroupid=1258&amp;mode_type=history&amp;date_from=2025-07-28</t>
  </si>
  <si>
    <t>https://ru.investing.com/equities/svb-financial-gro-historical-data</t>
  </si>
  <si>
    <t>SIVB</t>
  </si>
  <si>
    <t>US87105L1044</t>
  </si>
  <si>
    <t>Switch, Inc. ORD SHS CL A</t>
  </si>
  <si>
    <t>https://www.moex.com/ru/marketdata/#/mode=instrument&amp;secid=SWCH-RM&amp;boardgroupid=1258&amp;mode_type=history&amp;date_from=2025-07-28</t>
  </si>
  <si>
    <t>https://ru.investing.com/equities/switch-historical-data</t>
  </si>
  <si>
    <t>SWCH</t>
  </si>
  <si>
    <t>US87165B1035</t>
  </si>
  <si>
    <t>Synchrony Financial ORD SHS</t>
  </si>
  <si>
    <t>https://www.moex.com/ru/marketdata/#/mode=instrument&amp;secid=SYF-RM&amp;boardgroupid=1258&amp;mode_type=history&amp;date_from=2025-07-28</t>
  </si>
  <si>
    <t>https://ru.investing.com/equities/synchrony-fin-historical-data</t>
  </si>
  <si>
    <t>SYF</t>
  </si>
  <si>
    <t>US8716071076</t>
  </si>
  <si>
    <t>Synopsys, Inc. ORD SHS</t>
  </si>
  <si>
    <t>https://www.moex.com/ru/marketdata/#/mode=instrument&amp;secid=SNPS-RM&amp;boardgroupid=1258&amp;mode_type=history&amp;date_from=2025-04-28</t>
  </si>
  <si>
    <t>https://ru.investing.com/equities/synopsys-inc-historical-data</t>
  </si>
  <si>
    <t>SNPS</t>
  </si>
  <si>
    <t>US8718291078</t>
  </si>
  <si>
    <t>Sysco Ord Shs</t>
  </si>
  <si>
    <t>https://www.moex.com/ru/marketdata/#/mode=instrument&amp;secid=SYY-RM&amp;boardgroupid=1258&amp;mode_type=history&amp;date_from=2025-07-28</t>
  </si>
  <si>
    <t>https://ru.investing.com/equities/sysco-corp-historical-data</t>
  </si>
  <si>
    <t>SYY</t>
  </si>
  <si>
    <t>US74144T1088</t>
  </si>
  <si>
    <t>T Rowe Price Group Ord Shs</t>
  </si>
  <si>
    <t>https://www.moex.com/ru/marketdata/#/mode=instrument&amp;secid=TROW-RM&amp;boardgroupid=1258&amp;mode_type=history&amp;date_from=2025-07-28</t>
  </si>
  <si>
    <t>https://ru.investing.com/equities/t-rowe-price-gp-historical-data</t>
  </si>
  <si>
    <t>TROW</t>
  </si>
  <si>
    <t>US8740541094</t>
  </si>
  <si>
    <t>Take-Two</t>
  </si>
  <si>
    <t>https://www.moex.com/ru/marketdata/#/mode=instrument&amp;secid=TTWO-RM&amp;boardgroupid=1258&amp;mode_type=history&amp;date_from=2025-04-28</t>
  </si>
  <si>
    <t>https://ru.investing.com/equities/take-two-interactive-historical-data</t>
  </si>
  <si>
    <t>TTWO</t>
  </si>
  <si>
    <t>IT компания, издатель компьютерных игр</t>
  </si>
  <si>
    <t>US8760301072</t>
  </si>
  <si>
    <t>Tapestry, Inc. ORD SHS</t>
  </si>
  <si>
    <t>https://www.moex.com/ru/marketdata/#/mode=instrument&amp;secid=TPR-RM&amp;boardgroupid=1258&amp;mode_type=history&amp;date_from=2025-07-28</t>
  </si>
  <si>
    <t>https://ru.investing.com/equities/coach-historical-data</t>
  </si>
  <si>
    <t>TPR</t>
  </si>
  <si>
    <t>US87612E1064</t>
  </si>
  <si>
    <t>Target Corporation</t>
  </si>
  <si>
    <t>https://www.moex.com/ru/marketdata/#/mode=instrument&amp;secid=TGT-RM&amp;boardgroupid=1258&amp;mode_type=history&amp;date_from=2025-07-28</t>
  </si>
  <si>
    <t>https://ru.investing.com/equities/target-historical-data</t>
  </si>
  <si>
    <t>TGT</t>
  </si>
  <si>
    <t>US87663X1028</t>
  </si>
  <si>
    <t>Tattooed Chef, Inc ORD SHS</t>
  </si>
  <si>
    <t>https://www.moex.com/ru/marketdata/#/mode=instrument&amp;secid=TTCF-RM&amp;boardgroupid=1258&amp;mode_type=history&amp;date_from=2025-07-28</t>
  </si>
  <si>
    <t>https://ru.investing.com/equities/forum-merger-ii-historical-data</t>
  </si>
  <si>
    <t>TTCF</t>
  </si>
  <si>
    <t>US87724P1066</t>
  </si>
  <si>
    <t>Taylor Morrison Home ORD SHS</t>
  </si>
  <si>
    <t>https://www.moex.com/ru/marketdata/#/mode=instrument&amp;secid=TMHC-RM&amp;boardgroupid=1258&amp;mode_type=history&amp;date_from=2025-07-28</t>
  </si>
  <si>
    <t>https://ru.investing.com/equities/taylor-morn-home-historical-data</t>
  </si>
  <si>
    <t>TMHC</t>
  </si>
  <si>
    <t>GB00BDSFG982</t>
  </si>
  <si>
    <t>TechnipFMC</t>
  </si>
  <si>
    <t>FTI</t>
  </si>
  <si>
    <t>Нефтесервисные услуги</t>
  </si>
  <si>
    <t>US87901J1051</t>
  </si>
  <si>
    <t>TEGNA INC ORDSHS</t>
  </si>
  <si>
    <t>https://www.moex.com/ru/marketdata/#/mode=instrument&amp;secid=TGNA-RM&amp;boardgroupid=1258&amp;mode_type=history&amp;date_from=2025-07-28</t>
  </si>
  <si>
    <t>https://ru.investing.com/equities/tegna-inc-historical-data</t>
  </si>
  <si>
    <t>TGNA</t>
  </si>
  <si>
    <t>US87918A1051</t>
  </si>
  <si>
    <t>Teladoc Health Ord Shs</t>
  </si>
  <si>
    <t>https://www.moex.com/ru/marketdata/#/mode=instrument&amp;secid=TDOC-RM&amp;boardgroupid=1258&amp;mode_type=history&amp;date_from=2025-07-28</t>
  </si>
  <si>
    <t>https://ru.investing.com/equities/teladoc-inc-historical-data</t>
  </si>
  <si>
    <t>TDOC</t>
  </si>
  <si>
    <t>US8793691069</t>
  </si>
  <si>
    <t>Teleflex Incor ORD SHS</t>
  </si>
  <si>
    <t>https://www.moex.com/ru/marketdata/#/mode=instrument&amp;secid=TFX-RM&amp;boardgroupid=1258&amp;mode_type=history&amp;date_from=2025-07-28</t>
  </si>
  <si>
    <t>https://ru.investing.com/equities/teleflex-inc-historical-data</t>
  </si>
  <si>
    <t>TFX</t>
  </si>
  <si>
    <t>US8794338298</t>
  </si>
  <si>
    <t>Telephone and Data Sys ORD SHS</t>
  </si>
  <si>
    <t>https://www.moex.com/ru/marketdata/#/mode=instrument&amp;secid=TDS-RM&amp;boardgroupid=1258&amp;mode_type=history&amp;date_from=2025-07-28</t>
  </si>
  <si>
    <t>https://ru.investing.com/equities/telephone-and-data-systems-inc-historical-data</t>
  </si>
  <si>
    <t>TDS</t>
  </si>
  <si>
    <t>US88023U1016</t>
  </si>
  <si>
    <t>Tempur Sealy Int. ORD SHS</t>
  </si>
  <si>
    <t>https://www.moex.com/ru/marketdata/#/mode=instrument&amp;secid=TPX-RM&amp;boardgroupid=1258&amp;mode_type=history&amp;date_from=2025-07-28</t>
  </si>
  <si>
    <t>https://ru.investing.com/equities/tempur-pedic-international-inc-historical-data</t>
  </si>
  <si>
    <t>TPX</t>
  </si>
  <si>
    <t>US88076W1036</t>
  </si>
  <si>
    <t>Teradata Corporation ORD SHS</t>
  </si>
  <si>
    <t>https://www.moex.com/ru/marketdata/#/mode=instrument&amp;secid=TDC-RM&amp;boardgroupid=1258&amp;mode_type=history&amp;date_from=2025-07-28</t>
  </si>
  <si>
    <t>https://ru.investing.com/equities/teradata-historical-data</t>
  </si>
  <si>
    <t>TDC</t>
  </si>
  <si>
    <t>US8807701029</t>
  </si>
  <si>
    <t>Teradyne, Inc. ORD SHS</t>
  </si>
  <si>
    <t>https://www.moex.com/ru/marketdata/#/mode=instrument&amp;secid=TER-RM&amp;boardgroupid=1258&amp;mode_type=history&amp;date_from=2025-07-28</t>
  </si>
  <si>
    <t>https://ru.investing.com/equities/teradyne-inc-historical-data</t>
  </si>
  <si>
    <t>TER</t>
  </si>
  <si>
    <t>US88160R1014</t>
  </si>
  <si>
    <t>Tesla, Inc.</t>
  </si>
  <si>
    <t>https://www.moex.com/ru/marketdata/#/mode=instrument&amp;secid=TSLA-RM&amp;boardgroupid=1258&amp;mode_type=history&amp;date_from=2025-04-28</t>
  </si>
  <si>
    <t>https://ru.investing.com/equities/tesla-motors-historical-data</t>
  </si>
  <si>
    <t>TSLA</t>
  </si>
  <si>
    <t>Автомобилестроение, Солнечная энергетика</t>
  </si>
  <si>
    <t>US8825081040</t>
  </si>
  <si>
    <t>Texas Instruments</t>
  </si>
  <si>
    <t>https://www.moex.com/ru/marketdata/#/mode=instrument&amp;secid=TXN-RM&amp;boardgroupid=1258&amp;mode_type=history&amp;date_from=2025-04-28</t>
  </si>
  <si>
    <t>https://ru.investing.com/equities/texas-instru-historical-data</t>
  </si>
  <si>
    <t>TXN</t>
  </si>
  <si>
    <t>Производитель полупроводниковых приборов, микросхем, электроники</t>
  </si>
  <si>
    <t>US8832031012</t>
  </si>
  <si>
    <t>Textron Inc.</t>
  </si>
  <si>
    <t>https://www.moex.com/ru/marketdata/#/mode=instrument&amp;secid=TXT-RM&amp;boardgroupid=1258&amp;mode_type=history&amp;date_from=2025-07-28</t>
  </si>
  <si>
    <t>https://ru.investing.com/equities/textron-inc-historical-data</t>
  </si>
  <si>
    <t>TXT</t>
  </si>
  <si>
    <t>US00130H1059</t>
  </si>
  <si>
    <t>The AES Corporation ORD SHS</t>
  </si>
  <si>
    <t>https://www.moex.com/ru/marketdata/#/mode=instrument&amp;secid=AES-RM&amp;boardgroupid=1258&amp;mode_type=history&amp;date_from=2025-07-28</t>
  </si>
  <si>
    <t>https://ru.investing.com/equities/aes-corp-historical-data</t>
  </si>
  <si>
    <t>AES</t>
  </si>
  <si>
    <t>US0640581007</t>
  </si>
  <si>
    <t>The Bank of NY Mellon Corp</t>
  </si>
  <si>
    <t>https://www.moex.com/ru/marketdata/#/mode=instrument&amp;secid=BK-RM&amp;boardgroupid=1258&amp;mode_type=history&amp;date_from=2025-07-28</t>
  </si>
  <si>
    <t>https://ru.investing.com/equities/bk-of-ny-historical-data</t>
  </si>
  <si>
    <t>BK</t>
  </si>
  <si>
    <t>US0970231058</t>
  </si>
  <si>
    <t>The Boeing Company</t>
  </si>
  <si>
    <t>BA</t>
  </si>
  <si>
    <t>Авиастроение</t>
  </si>
  <si>
    <t>US8085131055</t>
  </si>
  <si>
    <t>The Charles Schwab Corporation</t>
  </si>
  <si>
    <t>https://www.moex.com/ru/marketdata/#/mode=instrument&amp;secid=SCHW-RM&amp;boardgroupid=1258&amp;mode_type=history&amp;date_from=2025-07-28</t>
  </si>
  <si>
    <t>https://ru.investing.com/equities/charles-schwab-historical-data</t>
  </si>
  <si>
    <t>SCHW</t>
  </si>
  <si>
    <t>US1255231003</t>
  </si>
  <si>
    <t>The Cigna Group</t>
  </si>
  <si>
    <t>https://www.moex.com/ru/marketdata/#/mode=instrument&amp;secid=CI-RM&amp;boardgroupid=1258&amp;mode_type=history&amp;date_from=2025-07-28</t>
  </si>
  <si>
    <t>https://ru.investing.com/equities/cigna-corp-historical-data</t>
  </si>
  <si>
    <t>CI</t>
  </si>
  <si>
    <t>US2166485019</t>
  </si>
  <si>
    <t>The Cooper Companies ORD SHS</t>
  </si>
  <si>
    <t>https://www.moex.com/ru/marketdata/#/mode=instrument&amp;secid=COO-RM&amp;boardgroupid=1258&amp;mode_type=history&amp;date_from=2025-07-28</t>
  </si>
  <si>
    <t>https://ru.investing.com/equities/cooper-companies-inc-historical-data</t>
  </si>
  <si>
    <t>COO</t>
  </si>
  <si>
    <t>US38141G1040</t>
  </si>
  <si>
    <t>The Goldman Sachs Group, Inc.</t>
  </si>
  <si>
    <t>https://www.moex.com/ru/marketdata/#/mode=instrument&amp;secid=GS-RM&amp;boardgroupid=1258&amp;mode_type=history&amp;date_from=2025-04-28</t>
  </si>
  <si>
    <t>https://ru.investing.com/equities/goldman-sachs-group-historical-data</t>
  </si>
  <si>
    <t>GS</t>
  </si>
  <si>
    <t>US4165151048</t>
  </si>
  <si>
    <t>The Hartford ORD SHS</t>
  </si>
  <si>
    <t>https://www.moex.com/ru/marketdata/#/mode=instrument&amp;secid=HIG-RM&amp;boardgroupid=1258&amp;mode_type=history&amp;date_from=2025-07-28</t>
  </si>
  <si>
    <t>https://ru.investing.com/equities/hartford-finl-historical-data</t>
  </si>
  <si>
    <t>HIG</t>
  </si>
  <si>
    <t>US4278661081</t>
  </si>
  <si>
    <t>The Hershey Company</t>
  </si>
  <si>
    <t>https://www.moex.com/ru/marketdata/#/mode=instrument&amp;secid=HSY-RM&amp;boardgroupid=1258&amp;mode_type=history&amp;date_from=2025-07-28</t>
  </si>
  <si>
    <t>https://ru.investing.com/equities/hershey-co-historical-data</t>
  </si>
  <si>
    <t>HSY</t>
  </si>
  <si>
    <t>US4370761029</t>
  </si>
  <si>
    <t>The Home Depot</t>
  </si>
  <si>
    <t>https://www.moex.com/ru/marketdata/#/mode=instrument&amp;secid=HD-RM&amp;boardgroupid=1258&amp;mode_type=history&amp;date_from=2025-04-28</t>
  </si>
  <si>
    <t>https://ru.investing.com/equities/home-depot-historical-data</t>
  </si>
  <si>
    <t>HD</t>
  </si>
  <si>
    <t>Торговая сеть, являющаяся крупнейшей в мире по продаже стройматериалов и инструментов для ремонта</t>
  </si>
  <si>
    <t>US5010441013</t>
  </si>
  <si>
    <t>The Kroger Co.</t>
  </si>
  <si>
    <t>https://www.moex.com/ru/marketdata/#/mode=instrument&amp;secid=KR-RM&amp;boardgroupid=1258&amp;mode_type=history&amp;date_from=2025-07-28</t>
  </si>
  <si>
    <t>https://ru.investing.com/equities/kroger-co-historical-data</t>
  </si>
  <si>
    <t>KR</t>
  </si>
  <si>
    <t>US5543821012</t>
  </si>
  <si>
    <t>The Macerich</t>
  </si>
  <si>
    <t>MAC</t>
  </si>
  <si>
    <t>US61945C1036</t>
  </si>
  <si>
    <t>The Mosaic Company</t>
  </si>
  <si>
    <t>https://www.moex.com/ru/marketdata/#/mode=instrument&amp;secid=MOS-RM&amp;boardgroupid=1258&amp;mode_type=history&amp;date_from=2025-07-28</t>
  </si>
  <si>
    <t>https://ru.investing.com/equities/mosaic-company-historical-data</t>
  </si>
  <si>
    <t>MOS</t>
  </si>
  <si>
    <t>US6501111073</t>
  </si>
  <si>
    <t>The New York Times Co ORDSHS A</t>
  </si>
  <si>
    <t>https://www.moex.com/ru/marketdata/#/mode=instrument&amp;secid=NYT-RM&amp;boardgroupid=1258&amp;mode_type=history&amp;date_from=2025-07-28</t>
  </si>
  <si>
    <t>https://ru.investing.com/equities/new-york-times-historical-data</t>
  </si>
  <si>
    <t>NYT</t>
  </si>
  <si>
    <t>US7427181091</t>
  </si>
  <si>
    <t>The Procter &amp; Gamble Company</t>
  </si>
  <si>
    <t>https://www.moex.com/ru/marketdata/#/mode=instrument&amp;secid=PG-RM&amp;boardgroupid=1258&amp;mode_type=history&amp;date_from=2025-04-28</t>
  </si>
  <si>
    <t>https://ru.investing.com/equities/procter-gamble-historical-data</t>
  </si>
  <si>
    <t>PG</t>
  </si>
  <si>
    <t>US7433151039</t>
  </si>
  <si>
    <t>The Progressive Corp ORD SHS</t>
  </si>
  <si>
    <t>https://www.moex.com/ru/marketdata/#/mode=instrument&amp;secid=PGR-RM&amp;boardgroupid=1258&amp;mode_type=history&amp;date_from=2025-07-28</t>
  </si>
  <si>
    <t>https://ru.investing.com/equities/the-progressive-historical-data</t>
  </si>
  <si>
    <t>PGR</t>
  </si>
  <si>
    <t>US8425871071</t>
  </si>
  <si>
    <t>The Southern Company ORD SHS</t>
  </si>
  <si>
    <t>https://www.moex.com/ru/marketdata/#/mode=instrument&amp;secid=SO-RM&amp;boardgroupid=1258&amp;mode_type=history&amp;date_from=2025-07-28</t>
  </si>
  <si>
    <t>https://ru.investing.com/equities/southern-co-historical-data</t>
  </si>
  <si>
    <t>SO</t>
  </si>
  <si>
    <t>US8725401090</t>
  </si>
  <si>
    <t>The TJX Companies, Inc.</t>
  </si>
  <si>
    <t>https://www.moex.com/ru/marketdata/#/mode=instrument&amp;secid=TJX-RM&amp;boardgroupid=1258&amp;mode_type=history&amp;date_from=2025-07-28</t>
  </si>
  <si>
    <t>https://ru.investing.com/equities/tjx-co-inc-historical-data</t>
  </si>
  <si>
    <t>TJX</t>
  </si>
  <si>
    <t>US88339J1051</t>
  </si>
  <si>
    <t>The Trade Desk ORD SHS CL A</t>
  </si>
  <si>
    <t>https://www.moex.com/ru/marketdata/#/mode=instrument&amp;secid=TTD-RM&amp;boardgroupid=1258&amp;mode_type=history&amp;date_from=2025-07-28</t>
  </si>
  <si>
    <t>https://ru.investing.com/equities/trade-desk-inc-historical-data</t>
  </si>
  <si>
    <t>TTD</t>
  </si>
  <si>
    <t>US2546871060</t>
  </si>
  <si>
    <t>The Walt Disney Company</t>
  </si>
  <si>
    <t>https://www.moex.com/ru/marketdata/#/mode=instrument&amp;secid=DIS-RM&amp;boardgroupid=1258&amp;mode_type=history&amp;date_from=2025-04-28</t>
  </si>
  <si>
    <t>https://ru.investing.com/equities/disney-historical-data</t>
  </si>
  <si>
    <t>DIS</t>
  </si>
  <si>
    <t>US9598021098</t>
  </si>
  <si>
    <t>The Western Union Company</t>
  </si>
  <si>
    <t>https://www.moex.com/ru/marketdata/#/mode=instrument&amp;secid=WU-RM&amp;boardgroupid=1258&amp;mode_type=history&amp;date_from=2025-07-28</t>
  </si>
  <si>
    <t>https://ru.investing.com/equities/western-union-historical-data</t>
  </si>
  <si>
    <t>WU</t>
  </si>
  <si>
    <t>US8835561023</t>
  </si>
  <si>
    <t>Thermo Fisher Scientific Inc.</t>
  </si>
  <si>
    <t>https://www.moex.com/ru/marketdata/#/mode=instrument&amp;secid=TMO-RM&amp;boardgroupid=1258&amp;mode_type=history&amp;date_from=2025-07-28</t>
  </si>
  <si>
    <t>https://ru.investing.com/equities/thermo-fisher-sc-historical-data</t>
  </si>
  <si>
    <t>TMO</t>
  </si>
  <si>
    <t>US8725901040</t>
  </si>
  <si>
    <t>T-Mobile US, Inc.</t>
  </si>
  <si>
    <t>https://www.moex.com/ru/marketdata/#/mode=instrument&amp;secid=TMUS-RM&amp;boardgroupid=1258&amp;mode_type=history&amp;date_from=2025-07-28</t>
  </si>
  <si>
    <t>https://ru.investing.com/equities/metropcs-communications-historical-data</t>
  </si>
  <si>
    <t>TMUS</t>
  </si>
  <si>
    <t>US89151E1091</t>
  </si>
  <si>
    <t>TotalEnergies</t>
  </si>
  <si>
    <t>TTEF</t>
  </si>
  <si>
    <t>Франция</t>
  </si>
  <si>
    <t>US87266J1043</t>
  </si>
  <si>
    <t>TPI</t>
  </si>
  <si>
    <t>TPIC</t>
  </si>
  <si>
    <t>Машиностроение и приборостроение</t>
  </si>
  <si>
    <t>US8923561067</t>
  </si>
  <si>
    <t>TRACTOR SUPPLY CO. ORDSHS</t>
  </si>
  <si>
    <t>https://www.moex.com/ru/marketdata/#/mode=instrument&amp;secid=TSCO-RM&amp;boardgroupid=1258&amp;mode_type=history&amp;date_from=2025-07-28</t>
  </si>
  <si>
    <t>https://ru.investing.com/equities/tractor-supply-company-historical-data</t>
  </si>
  <si>
    <t>TSCO</t>
  </si>
  <si>
    <t>US8936411003</t>
  </si>
  <si>
    <t>TRANSDIGM GROUP INC ORDSHS</t>
  </si>
  <si>
    <t>https://www.moex.com/ru/marketdata/#/mode=instrument&amp;secid=TDG-RM&amp;boardgroupid=1258&amp;mode_type=history&amp;date_from=2025-07-28</t>
  </si>
  <si>
    <t>https://ru.investing.com/equities/transdigm-group-inc-historical-data</t>
  </si>
  <si>
    <t>TDG</t>
  </si>
  <si>
    <t>CH0048265513</t>
  </si>
  <si>
    <t>Transocean</t>
  </si>
  <si>
    <t>RIG</t>
  </si>
  <si>
    <t xml:space="preserve">Подрядчик оффшорного бурения.специализируется на сдаче в аренду нефтяным и газовым компаниям </t>
  </si>
  <si>
    <t>Швейцария</t>
  </si>
  <si>
    <t>US89417E1091</t>
  </si>
  <si>
    <t>TRAVELERS COMPANIES INC ORDSHS</t>
  </si>
  <si>
    <t>https://www.moex.com/ru/marketdata/#/mode=instrument&amp;secid=TRV-RM&amp;boardgroupid=1258&amp;mode_type=history&amp;date_from=2025-07-28</t>
  </si>
  <si>
    <t>https://ru.investing.com/equities/the-travelers-co-historical-data-splits</t>
  </si>
  <si>
    <t>TRV</t>
  </si>
  <si>
    <t>US87265H1095</t>
  </si>
  <si>
    <t>Tri Pointe Homes, Inc. ORD SHS</t>
  </si>
  <si>
    <t>https://www.moex.com/ru/marketdata/#/mode=instrument&amp;secid=TPH-RM&amp;boardgroupid=1258&amp;mode_type=history&amp;date_from=2025-07-28</t>
  </si>
  <si>
    <t>https://ru.investing.com/equities/tri-pointe-homes-historical-data</t>
  </si>
  <si>
    <t>TPH</t>
  </si>
  <si>
    <t>US8962391004</t>
  </si>
  <si>
    <t>Trimble Inc. ORD SHS</t>
  </si>
  <si>
    <t>https://www.moex.com/ru/marketdata/#/mode=instrument&amp;secid=TRMB-RM&amp;boardgroupid=1258&amp;mode_type=history&amp;date_from=2025-07-28</t>
  </si>
  <si>
    <t>https://ru.investing.com/equities/trimble-navigation-ltd-historical-data</t>
  </si>
  <si>
    <t>TRMB</t>
  </si>
  <si>
    <t>US8969452015</t>
  </si>
  <si>
    <t>TRIPADVISORORD SHS</t>
  </si>
  <si>
    <t>https://www.moex.com/ru/marketdata/#/mode=instrument&amp;secid=TRIP-RM&amp;boardgroupid=1258&amp;mode_type=history&amp;date_from=2025-07-28</t>
  </si>
  <si>
    <t>https://ru.investing.com/equities/tripadvisor-historical-data</t>
  </si>
  <si>
    <t>TRIP</t>
  </si>
  <si>
    <t>US89832Q1094</t>
  </si>
  <si>
    <t>Truist Financial Corp ORD SHS</t>
  </si>
  <si>
    <t>https://www.moex.com/ru/marketdata/#/mode=instrument&amp;secid=TFC-RM&amp;boardgroupid=1258&amp;mode_type=history&amp;date_from=2025-04-28</t>
  </si>
  <si>
    <t>https://ru.investing.com/equities/bb-t-corp-historical-data</t>
  </si>
  <si>
    <t>TFC</t>
  </si>
  <si>
    <t>US9004502061</t>
  </si>
  <si>
    <t>Turtle Beach</t>
  </si>
  <si>
    <t>HEAR</t>
  </si>
  <si>
    <t>US90089L1089</t>
  </si>
  <si>
    <t>TuSimple Hold ORD SHS CL A</t>
  </si>
  <si>
    <t>https://www.moex.com/ru/marketdata/#/mode=instrument&amp;secid=TSP-RM&amp;boardgroupid=1258&amp;mode_type=history&amp;date_from=2025-07-28</t>
  </si>
  <si>
    <t>https://ru.investing.com/equities/tusimple-holdings-historical-data</t>
  </si>
  <si>
    <t>TSP</t>
  </si>
  <si>
    <t>US90138F1021</t>
  </si>
  <si>
    <t xml:space="preserve">Twilio </t>
  </si>
  <si>
    <t>https://www.moex.com/ru/marketdata/#/mode=instrument&amp;secid=TWLO-RM&amp;boardgroupid=1258&amp;mode_type=history&amp;date_from=2025-04-28</t>
  </si>
  <si>
    <t>https://ru.investing.com/equities/twilio-inc-a-historical-data</t>
  </si>
  <si>
    <t>TWLO</t>
  </si>
  <si>
    <t>IT компания, программируемые средства связи для совершения и приема телефонных звонков и пр.</t>
  </si>
  <si>
    <t>US90184L1026</t>
  </si>
  <si>
    <t>Twitter, Inc.</t>
  </si>
  <si>
    <t>https://www.moex.com/ru/marketdata/#/mode=instrument&amp;secid=TWTR-RM&amp;boardgroupid=1258&amp;mode_type=history&amp;date_from=2025-07-28</t>
  </si>
  <si>
    <t>https://ru.investing.com/equities/twitter-inc-historical-data</t>
  </si>
  <si>
    <t>TWTR</t>
  </si>
  <si>
    <t>US9022521051</t>
  </si>
  <si>
    <t>Tyler Technologies Ord Shs</t>
  </si>
  <si>
    <t>https://www.moex.com/ru/marketdata/#/mode=instrument&amp;secid=TYL-RM&amp;boardgroupid=1258&amp;mode_type=history&amp;date_from=2025-07-28</t>
  </si>
  <si>
    <t>https://ru.investing.com/equities/tyler-technologies-inc-historical-data</t>
  </si>
  <si>
    <t>TYL</t>
  </si>
  <si>
    <t>US9024941034</t>
  </si>
  <si>
    <t>Tyson Foods</t>
  </si>
  <si>
    <t>https://www.moex.com/ru/marketdata/#/mode=instrument&amp;secid=TSN-RM&amp;boardgroupid=1258&amp;mode_type=history&amp;date_from=2025-04-28</t>
  </si>
  <si>
    <t>https://ru.investing.com/equities/tyson-foods-historical-data</t>
  </si>
  <si>
    <t>TSN</t>
  </si>
  <si>
    <t>US9029733048</t>
  </si>
  <si>
    <t>U.S. Bancorp</t>
  </si>
  <si>
    <t>https://www.moex.com/ru/marketdata/#/mode=instrument&amp;secid=USB-RM&amp;boardgroupid=1258&amp;mode_type=history&amp;date_from=2025-07-28</t>
  </si>
  <si>
    <t>https://ru.investing.com/equities/us-bancorp-historical-data</t>
  </si>
  <si>
    <t>USB</t>
  </si>
  <si>
    <t>US90353T1007</t>
  </si>
  <si>
    <t>Uber Technologies, Inc.</t>
  </si>
  <si>
    <t>https://www.moex.com/ru/marketdata/#/mode=instrument&amp;secid=UBER-RM&amp;boardgroupid=1258&amp;mode_type=history&amp;date_from=2025-04-28</t>
  </si>
  <si>
    <t>https://ru.investing.com/equities/uber-technologies-inc-historical-data</t>
  </si>
  <si>
    <t>UBER</t>
  </si>
  <si>
    <t>Поиск, вызов и оплаты такси или частных водителей и доставки еды</t>
  </si>
  <si>
    <t>US90364P1057</t>
  </si>
  <si>
    <t>UiPath, Inc. ORD SHS CL A</t>
  </si>
  <si>
    <t>https://www.moex.com/ru/marketdata/#/mode=instrument&amp;secid=PATH-RM&amp;boardgroupid=1258&amp;mode_type=history&amp;date_from=2025-07-28</t>
  </si>
  <si>
    <t>https://ru.investing.com/equities/uipath-historical-data</t>
  </si>
  <si>
    <t>PATH</t>
  </si>
  <si>
    <t>US90384S3031</t>
  </si>
  <si>
    <t>Ulta Beauty, Inc. ORD SHS</t>
  </si>
  <si>
    <t>https://www.moex.com/ru/marketdata/#/mode=instrument&amp;secid=ULTA-RM&amp;boardgroupid=1258&amp;mode_type=history&amp;date_from=2025-07-28</t>
  </si>
  <si>
    <t>https://ru.investing.com/equities/ulta-salon-cosmetics---fragrance-historical-data</t>
  </si>
  <si>
    <t>ULTA</t>
  </si>
  <si>
    <t>US9043111072</t>
  </si>
  <si>
    <t>Under Armour</t>
  </si>
  <si>
    <t>UAA</t>
  </si>
  <si>
    <t>Производитель спортивной одежды</t>
  </si>
  <si>
    <t>US9043112062</t>
  </si>
  <si>
    <t>Under Armour, Inc.</t>
  </si>
  <si>
    <t>https://www.moex.com/ru/marketdata/#/mode=instrument&amp;secid=UA-RM&amp;boardgroupid=1258&amp;mode_type=history&amp;date_from=2025-07-28</t>
  </si>
  <si>
    <t>https://ru.investing.com/equities/under-armour-c-historical-data</t>
  </si>
  <si>
    <t>UA</t>
  </si>
  <si>
    <t>US9078181081</t>
  </si>
  <si>
    <t>Union Pacific Corporation</t>
  </si>
  <si>
    <t>https://www.moex.com/ru/marketdata/#/mode=instrument&amp;secid=UNP-RM&amp;boardgroupid=1258&amp;mode_type=history&amp;date_from=2025-07-28</t>
  </si>
  <si>
    <t>https://ru.investing.com/equities/union-pacific-historical-data</t>
  </si>
  <si>
    <t>UNP</t>
  </si>
  <si>
    <t>US9100471096</t>
  </si>
  <si>
    <t>United Airlines Holdings, Inc.</t>
  </si>
  <si>
    <t>https://www.moex.com/ru/marketdata/#/mode=instrument&amp;secid=UAL-RM&amp;boardgroupid=1258&amp;mode_type=history&amp;date_from=2025-04-28</t>
  </si>
  <si>
    <t>https://ru.investing.com/equities/united-continenta-historical-data</t>
  </si>
  <si>
    <t>UAL</t>
  </si>
  <si>
    <t>Публично торгуемая холдинговая авиакомпания</t>
  </si>
  <si>
    <t>US9113121068</t>
  </si>
  <si>
    <t>United Parcel Service, Inc.</t>
  </si>
  <si>
    <t>https://www.moex.com/ru/marketdata/#/mode=instrument&amp;secid=UPS-RM&amp;boardgroupid=1258&amp;mode_type=history&amp;date_from=2025-07-28</t>
  </si>
  <si>
    <t>https://ru.investing.com/equities/united-parcel-historical-data</t>
  </si>
  <si>
    <t>UPS</t>
  </si>
  <si>
    <t>US9113631090</t>
  </si>
  <si>
    <t>United Rentals, Inc. ORD SHS</t>
  </si>
  <si>
    <t>https://www.moex.com/ru/marketdata/#/mode=instrument&amp;secid=URI-RM&amp;boardgroupid=1258&amp;mode_type=history&amp;date_from=2025-07-28</t>
  </si>
  <si>
    <t>https://ru.investing.com/equities/united-rentals-historical-data</t>
  </si>
  <si>
    <t>URI</t>
  </si>
  <si>
    <t>US91324P1021</t>
  </si>
  <si>
    <t>UnitedHealth Group Incorporated</t>
  </si>
  <si>
    <t>https://www.moex.com/ru/marketdata/#/mode=instrument&amp;secid=UNH-RM&amp;boardgroupid=1258&amp;mode_type=history&amp;date_from=2025-04-28</t>
  </si>
  <si>
    <t>https://ru.investing.com/equities/united-health-group-historical-data</t>
  </si>
  <si>
    <t>UNH</t>
  </si>
  <si>
    <t>US91332U1016</t>
  </si>
  <si>
    <t>Unity Software Inc. ORD SHS</t>
  </si>
  <si>
    <t>https://www.moex.com/ru/marketdata/#/mode=instrument&amp;secid=U-RM&amp;boardgroupid=1258&amp;mode_type=history&amp;date_from=2025-07-28</t>
  </si>
  <si>
    <t>https://ru.investing.com/equities/unity-software-inc-historical-data</t>
  </si>
  <si>
    <t>U</t>
  </si>
  <si>
    <t>US91347P1057</t>
  </si>
  <si>
    <t>Universal Display</t>
  </si>
  <si>
    <t>OLED</t>
  </si>
  <si>
    <t>Компьютерное оборудование</t>
  </si>
  <si>
    <t>US9139031002</t>
  </si>
  <si>
    <t>UNIVERSAL HEALTH SERV ORDSH B</t>
  </si>
  <si>
    <t>https://www.moex.com/ru/marketdata/#/mode=instrument&amp;secid=UHS-RM&amp;boardgroupid=1258&amp;mode_type=history&amp;date_from=2025-07-28</t>
  </si>
  <si>
    <t>https://ru.investing.com/equities/universal-health-services-historical-data</t>
  </si>
  <si>
    <t>UHS</t>
  </si>
  <si>
    <t>US91529Y1064</t>
  </si>
  <si>
    <t>Unum Group ORD SHS</t>
  </si>
  <si>
    <t>https://www.moex.com/ru/marketdata/#/mode=instrument&amp;secid=UNM-RM&amp;boardgroupid=1258&amp;mode_type=history&amp;date_from=2025-07-28</t>
  </si>
  <si>
    <t>https://ru.investing.com/equities/unum-group-historical-data</t>
  </si>
  <si>
    <t>UNM</t>
  </si>
  <si>
    <t>US91688F1049</t>
  </si>
  <si>
    <t>Upwork Inc. ORD SHS</t>
  </si>
  <si>
    <t>https://www.moex.com/ru/marketdata/#/mode=instrument&amp;secid=UPWK-RM&amp;boardgroupid=1258&amp;mode_type=history&amp;date_from=2025-07-28</t>
  </si>
  <si>
    <t>https://ru.investing.com/equities/upwork-historical-data</t>
  </si>
  <si>
    <t>UPWK</t>
  </si>
  <si>
    <t>US9170471026</t>
  </si>
  <si>
    <t>Urban Outfitters, Inc. ORD SHS</t>
  </si>
  <si>
    <t>https://www.moex.com/ru/marketdata/#/mode=instrument&amp;secid=URBN-RM&amp;boardgroupid=1258&amp;mode_type=history&amp;date_from=2025-07-28</t>
  </si>
  <si>
    <t>https://ru.investing.com/equities/urban-outfitters-historical-data</t>
  </si>
  <si>
    <t>URBN</t>
  </si>
  <si>
    <t>US9120081099</t>
  </si>
  <si>
    <t>US Foods Holding Corp ORD SHS</t>
  </si>
  <si>
    <t>https://www.moex.com/ru/marketdata/#/mode=instrument&amp;secid=USFD-RM&amp;boardgroupid=1258&amp;mode_type=history&amp;date_from=2025-07-28</t>
  </si>
  <si>
    <t>https://ru.investing.com/equities/us-foods-holding-corp-historical-data</t>
  </si>
  <si>
    <t>USFD</t>
  </si>
  <si>
    <t>US91912E1055</t>
  </si>
  <si>
    <t>Vale S.A.</t>
  </si>
  <si>
    <t>VALE</t>
  </si>
  <si>
    <t>Горнодобывающая компания</t>
  </si>
  <si>
    <t>Бразилия</t>
  </si>
  <si>
    <t>US91913Y1001</t>
  </si>
  <si>
    <t>Valero Energy</t>
  </si>
  <si>
    <t>https://www.moex.com/ru/marketdata/#/mode=instrument&amp;secid=VLO-RM&amp;boardgroupid=1258&amp;mode_type=history&amp;date_from=2025-04-28</t>
  </si>
  <si>
    <t>https://ru.investing.com/equities/valero-energy-historical-data</t>
  </si>
  <si>
    <t>VLO</t>
  </si>
  <si>
    <t>US92243A2006</t>
  </si>
  <si>
    <t>Vaxart, Inc. ORD SHS</t>
  </si>
  <si>
    <t>https://www.moex.com/ru/marketdata/#/mode=instrument&amp;secid=VXRT-RM&amp;boardgroupid=1258&amp;mode_type=history&amp;date_from=2025-07-28</t>
  </si>
  <si>
    <t>https://ru.investing.com/equities/nabi-pharmaceuticals-historical-data</t>
  </si>
  <si>
    <t>VXRT</t>
  </si>
  <si>
    <t>US92259F1012</t>
  </si>
  <si>
    <t>Velodyne Lidar, Inc. ORD SHS</t>
  </si>
  <si>
    <t>https://www.moex.com/ru/marketdata/#/mode=instrument&amp;secid=VLDR-RM&amp;boardgroupid=1258&amp;mode_type=history&amp;date_from=2025-07-28</t>
  </si>
  <si>
    <t>https://ru.investing.com/equities/graf-industrial-corp-historical-data</t>
  </si>
  <si>
    <t>VLDR</t>
  </si>
  <si>
    <t>US01988P1084</t>
  </si>
  <si>
    <t>Veradigm Inc ORD SHS</t>
  </si>
  <si>
    <t>https://www.moex.com/ru/marketdata/#/mode=instrument&amp;secid=MDRX-RM&amp;boardgroupid=1258&amp;mode_type=history&amp;date_from=2025-07-28</t>
  </si>
  <si>
    <t>https://ru.investing.com/equities/allscripts-misys-healthcre-solution-historical-data</t>
  </si>
  <si>
    <t>MDRX</t>
  </si>
  <si>
    <t>US92343E1029</t>
  </si>
  <si>
    <t>VeriSign IncORD SHS</t>
  </si>
  <si>
    <t>https://www.moex.com/ru/marketdata/#/mode=instrument&amp;secid=VRSN-RM&amp;boardgroupid=1258&amp;mode_type=history&amp;date_from=2025-07-28</t>
  </si>
  <si>
    <t>https://ru.investing.com/equities/verisign-inc-historical-data</t>
  </si>
  <si>
    <t>VRSN</t>
  </si>
  <si>
    <t>US92345Y1064</t>
  </si>
  <si>
    <t>Verisk Analytics, Inc. ORD SHS</t>
  </si>
  <si>
    <t>https://www.moex.com/ru/marketdata/#/mode=instrument&amp;secid=VRSK-RM&amp;boardgroupid=1258&amp;mode_type=history&amp;date_from=2025-07-28</t>
  </si>
  <si>
    <t>https://ru.investing.com/equities/verisk-analytics-inc-historical-data</t>
  </si>
  <si>
    <t>VRSK</t>
  </si>
  <si>
    <t>US92343V1044</t>
  </si>
  <si>
    <t>Verizon Communications</t>
  </si>
  <si>
    <t>https://www.moex.com/ru/marketdata/#/mode=instrument&amp;secid=VZ-RM&amp;boardgroupid=1258&amp;mode_type=history&amp;date_from=2025-04-28</t>
  </si>
  <si>
    <t>https://ru.investing.com/equities/verizon-communications-historical-data</t>
  </si>
  <si>
    <t>VZ</t>
  </si>
  <si>
    <t>US92532F1003</t>
  </si>
  <si>
    <t>Vertex Pharmaceuticals</t>
  </si>
  <si>
    <t>https://www.moex.com/ru/marketdata/#/mode=instrument&amp;secid=VRTX-RM&amp;boardgroupid=1258&amp;mode_type=history&amp;date_from=2025-04-28</t>
  </si>
  <si>
    <t>https://ru.investing.com/equities/vertex-pharm-historical-data</t>
  </si>
  <si>
    <t>VRTX</t>
  </si>
  <si>
    <t>IT компания,программное обеспечение и услуги по соблюдению налогового законодательства</t>
  </si>
  <si>
    <t>US9182041080</t>
  </si>
  <si>
    <t>VF Ord Shs</t>
  </si>
  <si>
    <t>https://www.moex.com/ru/marketdata/#/mode=instrument&amp;secid=VFC-RM&amp;boardgroupid=1258&amp;mode_type=history&amp;date_from=2025-07-28</t>
  </si>
  <si>
    <t>https://ru.investing.com/equities/vf-corp-historical-data</t>
  </si>
  <si>
    <t>VFC</t>
  </si>
  <si>
    <t>US92556V1061</t>
  </si>
  <si>
    <t>Viatris Inc.</t>
  </si>
  <si>
    <t>https://www.moex.com/ru/marketdata/#/mode=instrument&amp;secid=VTRS-RM&amp;boardgroupid=1258&amp;mode_type=history&amp;date_from=2025-07-28</t>
  </si>
  <si>
    <t>https://ru.investing.com/equities/mylan-inc-historical-data</t>
  </si>
  <si>
    <t>VTRS</t>
  </si>
  <si>
    <t>US92719V1008</t>
  </si>
  <si>
    <t>Vimeo, Inc. ORD SHS</t>
  </si>
  <si>
    <t>https://www.moex.com/ru/marketdata/#/mode=instrument&amp;secid=VMEO-RM&amp;boardgroupid=1258&amp;mode_type=history&amp;date_from=2025-07-28</t>
  </si>
  <si>
    <t>https://ru.investing.com/equities/vimeo-historical-data</t>
  </si>
  <si>
    <t>VMEO</t>
  </si>
  <si>
    <t>US92766K1060</t>
  </si>
  <si>
    <t>Virgin Galactic Holdings, Inc.</t>
  </si>
  <si>
    <t>https://www.moex.com/ru/marketdata/#/mode=instrument&amp;secid=SPCE-RM&amp;boardgroupid=1258&amp;mode_type=history&amp;date_from=2025-07-28</t>
  </si>
  <si>
    <t>https://ru.investing.com/equities/social-capital-hedosophia-historical-data</t>
  </si>
  <si>
    <t>SPCE</t>
  </si>
  <si>
    <t>US9282541013</t>
  </si>
  <si>
    <t>Virtu Financial, Inc. ORDSHS A</t>
  </si>
  <si>
    <t>https://www.moex.com/ru/marketdata/#/mode=instrument&amp;secid=VIRT-RM&amp;boardgroupid=1258&amp;mode_type=history&amp;date_from=2025-07-28</t>
  </si>
  <si>
    <t>https://ru.investing.com/equities/virtu-financial-inc-historical-data</t>
  </si>
  <si>
    <t>VIRT</t>
  </si>
  <si>
    <t>US92826C8394</t>
  </si>
  <si>
    <t>Visa Inc.</t>
  </si>
  <si>
    <t>https://www.moex.com/ru/marketdata/#/mode=instrument&amp;secid=V-RM&amp;boardgroupid=1258&amp;mode_type=history&amp;date_from=2025-04-28</t>
  </si>
  <si>
    <t>https://ru.investing.com/equities/visa-inc-historical-data</t>
  </si>
  <si>
    <t>V</t>
  </si>
  <si>
    <t>US9285634021</t>
  </si>
  <si>
    <t xml:space="preserve">VMWARE </t>
  </si>
  <si>
    <t>VMW</t>
  </si>
  <si>
    <t xml:space="preserve"> IT компания, разработчик программного обеспечения для виртуализации</t>
  </si>
  <si>
    <t>DE0007664039</t>
  </si>
  <si>
    <t>Volkswagen</t>
  </si>
  <si>
    <t>VOWG</t>
  </si>
  <si>
    <t>Автомобилестроение</t>
  </si>
  <si>
    <t>US92886T2015</t>
  </si>
  <si>
    <t>Vonage Holdings Corp. ORD SHS</t>
  </si>
  <si>
    <t>https://www.moex.com/ru/marketdata/#/mode=instrument&amp;secid=VG-RM&amp;boardgroupid=1258&amp;mode_type=history&amp;date_from=2025-07-28</t>
  </si>
  <si>
    <t>https://ru.investing.com/equities/vonage-holdings-corp-historical-data</t>
  </si>
  <si>
    <t>VG</t>
  </si>
  <si>
    <t>US9288811014</t>
  </si>
  <si>
    <t>Vontier Corporation</t>
  </si>
  <si>
    <t>https://www.moex.com/ru/marketdata/#/mode=instrument&amp;secid=VNT-RM&amp;boardgroupid=1258&amp;mode_type=history&amp;date_from=2025-07-28</t>
  </si>
  <si>
    <t>https://ru.investing.com/equities/vontier-historical-data</t>
  </si>
  <si>
    <t>VNT</t>
  </si>
  <si>
    <t>US9291601097</t>
  </si>
  <si>
    <t>Vulcan Materials Ord Shs</t>
  </si>
  <si>
    <t>https://www.moex.com/ru/marketdata/#/mode=instrument&amp;secid=VMC-RM&amp;boardgroupid=1258&amp;mode_type=history&amp;date_from=2025-07-28</t>
  </si>
  <si>
    <t>https://ru.investing.com/equities/vulcan-matrls-historical-data</t>
  </si>
  <si>
    <t>VMC</t>
  </si>
  <si>
    <t>US92921W3007</t>
  </si>
  <si>
    <t>Vuzix Corporation ORD SHS</t>
  </si>
  <si>
    <t>https://www.moex.com/ru/marketdata/#/mode=instrument&amp;secid=VUZI-RM&amp;boardgroupid=1258&amp;mode_type=history&amp;date_from=2025-07-28</t>
  </si>
  <si>
    <t>https://ru.investing.com/equities/vuzix-corp-cmn-stk-historical-data</t>
  </si>
  <si>
    <t>VUZI</t>
  </si>
  <si>
    <t>US0844231029</t>
  </si>
  <si>
    <t>W. R. Berkley Corp ORD SHS</t>
  </si>
  <si>
    <t>https://www.moex.com/ru/marketdata/#/mode=instrument&amp;secid=WRB-RM&amp;boardgroupid=1258&amp;mode_type=history&amp;date_from=2025-07-28</t>
  </si>
  <si>
    <t>https://ru.investing.com/equities/wr-berkley-corp-historical-data</t>
  </si>
  <si>
    <t>WRB</t>
  </si>
  <si>
    <t>US9297401088</t>
  </si>
  <si>
    <t>WABTEC CORP ORD SHS</t>
  </si>
  <si>
    <t>https://www.moex.com/ru/marketdata/#/mode=instrument&amp;secid=WAB-RM&amp;boardgroupid=1258&amp;mode_type=history&amp;date_from=2025-07-28</t>
  </si>
  <si>
    <t>https://ru.investing.com/equities/westinghouse-air-brake-tech-historical-data</t>
  </si>
  <si>
    <t>WAB</t>
  </si>
  <si>
    <t>US9314271084</t>
  </si>
  <si>
    <t>Walgreen Boots Alliance Ord Sh</t>
  </si>
  <si>
    <t>https://www.moex.com/ru/marketdata/#/mode=instrument&amp;secid=WBA-RM&amp;boardgroupid=1258&amp;mode_type=history&amp;date_from=2025-07-28</t>
  </si>
  <si>
    <t>https://ru.investing.com/equities/walgreen-co-historical-data</t>
  </si>
  <si>
    <t>WBA</t>
  </si>
  <si>
    <t>US9311421039</t>
  </si>
  <si>
    <t>Walmart</t>
  </si>
  <si>
    <t>https://www.moex.com/ru/marketdata/#/mode=instrument&amp;secid=WMT-RM&amp;boardgroupid=1258&amp;mode_type=history&amp;date_from=2025-04-28</t>
  </si>
  <si>
    <t>https://ru.investing.com/equities/wal-mart-stores-historical-data</t>
  </si>
  <si>
    <t>WMT</t>
  </si>
  <si>
    <t>US9344231041</t>
  </si>
  <si>
    <t>Warner Bros</t>
  </si>
  <si>
    <t>WBD</t>
  </si>
  <si>
    <t>US25470F1049</t>
  </si>
  <si>
    <t>Warner Bros. Discovery, Inc.</t>
  </si>
  <si>
    <t>https://www.moex.com/ru/marketdata/#/mode=instrument&amp;secid=DISCA-RM&amp;boardgroupid=1258&amp;mode_type=history&amp;date_from=2025-07-28</t>
  </si>
  <si>
    <t>https://ru.investing.com/equities/discovery-holding-co-historical-data?cid=1177908</t>
  </si>
  <si>
    <t>DISCA</t>
  </si>
  <si>
    <t>US94106L1098</t>
  </si>
  <si>
    <t>Waste Management, Inc ORD SHS</t>
  </si>
  <si>
    <t>https://www.moex.com/ru/marketdata/#/mode=instrument&amp;secid=WM-RM&amp;boardgroupid=1258&amp;mode_type=history&amp;date_from=2025-07-28</t>
  </si>
  <si>
    <t>https://ru.investing.com/equities/waste-managemnt-historical-data</t>
  </si>
  <si>
    <t>WM</t>
  </si>
  <si>
    <t>US9418481035</t>
  </si>
  <si>
    <t>Waters Corp ORD SHS</t>
  </si>
  <si>
    <t>https://www.moex.com/ru/marketdata/#/mode=instrument&amp;secid=WAT-RM&amp;boardgroupid=1258&amp;mode_type=history&amp;date_from=2025-07-28</t>
  </si>
  <si>
    <t>https://ru.investing.com/equities/waters-corp-historical-data</t>
  </si>
  <si>
    <t>WAT</t>
  </si>
  <si>
    <t>Прочие медицинские товары и услуги</t>
  </si>
  <si>
    <t>US94419L1017</t>
  </si>
  <si>
    <t>Wayfair Inc. ORD SHS CL A</t>
  </si>
  <si>
    <t>https://www.moex.com/ru/marketdata/#/mode=instrument&amp;secid=W-RM&amp;boardgroupid=1258&amp;mode_type=history&amp;date_from=2025-07-28</t>
  </si>
  <si>
    <t>https://ru.investing.com/equities/wayfair-inc-historical-data</t>
  </si>
  <si>
    <t>W</t>
  </si>
  <si>
    <t>US92939U1060</t>
  </si>
  <si>
    <t>WEC ENERGY GROUP INC ORDSHS</t>
  </si>
  <si>
    <t>https://www.moex.com/ru/marketdata/#/mode=instrument&amp;secid=WEC-RM&amp;boardgroupid=1258&amp;mode_type=history&amp;date_from=2025-07-28</t>
  </si>
  <si>
    <t>https://ru.investing.com/equities/wisconsin-energy-corp-historical-data</t>
  </si>
  <si>
    <t>WEC</t>
  </si>
  <si>
    <t>US9497461015</t>
  </si>
  <si>
    <t>Wells Fargo</t>
  </si>
  <si>
    <t>https://www.moex.com/ru/marketdata/#/mode=instrument&amp;secid=WFC-RM&amp;boardgroupid=1258&amp;mode_type=history&amp;date_from=2025-04-28</t>
  </si>
  <si>
    <t>https://ru.investing.com/equities/wells-fargo-historical-data</t>
  </si>
  <si>
    <t>WFC</t>
  </si>
  <si>
    <t>Банковское дело</t>
  </si>
  <si>
    <t>US9553061055</t>
  </si>
  <si>
    <t>West Pharmaceutical Serv OS</t>
  </si>
  <si>
    <t>https://www.moex.com/ru/marketdata/#/mode=instrument&amp;secid=WST-RM&amp;boardgroupid=1258&amp;mode_type=history&amp;date_from=2025-07-28</t>
  </si>
  <si>
    <t>https://ru.investing.com/equities/west-pharmaceutical-services-inc-historical-data</t>
  </si>
  <si>
    <t>WST</t>
  </si>
  <si>
    <t>US9581021055</t>
  </si>
  <si>
    <t>Western Digital</t>
  </si>
  <si>
    <t>https://www.moex.com/ru/marketdata/#/mode=instrument&amp;secid=WDC-RM&amp;boardgroupid=1258&amp;mode_type=history&amp;date_from=2025-04-28</t>
  </si>
  <si>
    <t>https://ru.investing.com/equities/western-digital-historical-data</t>
  </si>
  <si>
    <t>WDC</t>
  </si>
  <si>
    <t>US96145D1054</t>
  </si>
  <si>
    <t>Westrock Co Ord Shs</t>
  </si>
  <si>
    <t>https://www.moex.com/ru/marketdata/#/mode=instrument&amp;secid=WRK-RM&amp;boardgroupid=1258&amp;mode_type=history&amp;date_from=2025-07-28</t>
  </si>
  <si>
    <t>https://ru.investing.com/equities/westrock-co-historical-data</t>
  </si>
  <si>
    <t>WRK</t>
  </si>
  <si>
    <t>US9633201069</t>
  </si>
  <si>
    <t>Whirlpool Corp ORD SHS</t>
  </si>
  <si>
    <t>https://www.moex.com/ru/marketdata/#/mode=instrument&amp;secid=WHR-RM&amp;boardgroupid=1258&amp;mode_type=history&amp;date_from=2025-07-28</t>
  </si>
  <si>
    <t>https://ru.investing.com/equities/whirl-pool-corp-historical-data</t>
  </si>
  <si>
    <t>WHR</t>
  </si>
  <si>
    <t>US9694571004</t>
  </si>
  <si>
    <t>Williams Ord Shs</t>
  </si>
  <si>
    <t>https://www.moex.com/ru/marketdata/#/mode=instrument&amp;secid=WMB-RM&amp;boardgroupid=1258&amp;mode_type=history&amp;date_from=2025-07-28</t>
  </si>
  <si>
    <t>https://ru.investing.com/equities/williams-cos-historical-data</t>
  </si>
  <si>
    <t>WMB</t>
  </si>
  <si>
    <t>US9699041011</t>
  </si>
  <si>
    <t>Williams-Sonoma, Inc. ORD SHS</t>
  </si>
  <si>
    <t>https://www.moex.com/ru/marketdata/#/mode=instrument&amp;secid=WSM-RM&amp;boardgroupid=1258&amp;mode_type=history&amp;date_from=2025-07-28</t>
  </si>
  <si>
    <t>https://ru.investing.com/equities/williams-sonoma-inc-historical-data</t>
  </si>
  <si>
    <t>WSM</t>
  </si>
  <si>
    <t>US9713781048</t>
  </si>
  <si>
    <t>WillScot Mobile Mini ORD SHS</t>
  </si>
  <si>
    <t>https://www.moex.com/ru/marketdata/#/mode=instrument&amp;secid=WSC-RM&amp;boardgroupid=1258&amp;mode_type=history&amp;date_from=2025-07-28</t>
  </si>
  <si>
    <t>https://ru.investing.com/equities/double-eagle-acquisition-corp-historical-data</t>
  </si>
  <si>
    <t>WSC</t>
  </si>
  <si>
    <t>US98138H1014</t>
  </si>
  <si>
    <t>Workday, Inc. ORD SHS Cl A</t>
  </si>
  <si>
    <t>https://www.moex.com/ru/marketdata/#/mode=instrument&amp;secid=WDAY-RM&amp;boardgroupid=1258&amp;mode_type=history&amp;date_from=2025-07-28</t>
  </si>
  <si>
    <t>https://ru.investing.com/equities/workday-inc-historical-data</t>
  </si>
  <si>
    <t>WDAY</t>
  </si>
  <si>
    <t>US3848021040</t>
  </si>
  <si>
    <t>WW Grainger Ord Shs</t>
  </si>
  <si>
    <t>https://www.moex.com/ru/marketdata/#/mode=instrument&amp;secid=GWW-RM&amp;boardgroupid=1258&amp;mode_type=history&amp;date_from=2025-07-28</t>
  </si>
  <si>
    <t>https://ru.investing.com/equities/w-w-grainger-inc-historical-data</t>
  </si>
  <si>
    <t>GWW</t>
  </si>
  <si>
    <t>US98262P1012</t>
  </si>
  <si>
    <t>WW International, Inc. ORD SHS</t>
  </si>
  <si>
    <t>https://www.moex.com/ru/marketdata/#/mode=instrument&amp;secid=WW-RM&amp;boardgroupid=1258&amp;mode_type=history&amp;date_from=2025-07-28</t>
  </si>
  <si>
    <t>https://ru.investing.com/equities/weight-watcher-historical-data</t>
  </si>
  <si>
    <t>WW</t>
  </si>
  <si>
    <t>US9831341071</t>
  </si>
  <si>
    <t>Wynn Resorts, Limited ORD SHS</t>
  </si>
  <si>
    <t>https://www.moex.com/ru/marketdata/#/mode=instrument&amp;secid=WYNN-RM&amp;boardgroupid=1258&amp;mode_type=history&amp;date_from=2025-07-28</t>
  </si>
  <si>
    <t>https://ru.investing.com/equities/wynn-resorts-ltd-historical-data</t>
  </si>
  <si>
    <t>WYNN</t>
  </si>
  <si>
    <t>US98389B1008</t>
  </si>
  <si>
    <t>Xcel Energy Inc. ORD SHS</t>
  </si>
  <si>
    <t>https://www.moex.com/ru/marketdata/#/mode=instrument&amp;secid=XEL-RM&amp;boardgroupid=1258&amp;mode_type=history&amp;date_from=2025-07-28</t>
  </si>
  <si>
    <t>https://ru.investing.com/equities/xcel-energy-historical-data</t>
  </si>
  <si>
    <t>XEL</t>
  </si>
  <si>
    <t>US98421M1062</t>
  </si>
  <si>
    <t>Xerox Holdings Corp ORD SHS</t>
  </si>
  <si>
    <t>https://www.moex.com/ru/marketdata/#/mode=instrument&amp;secid=XRX-RM&amp;boardgroupid=1258&amp;mode_type=history&amp;date_from=2025-07-28</t>
  </si>
  <si>
    <t>https://ru.investing.com/equities/xerox-corp-historical-data</t>
  </si>
  <si>
    <t>XRX</t>
  </si>
  <si>
    <t>US9839191015</t>
  </si>
  <si>
    <t>Xilinx, Inc. ORD SHS</t>
  </si>
  <si>
    <t>https://www.moex.com/ru/marketdata/#/mode=instrument&amp;secid=XLNX-RM&amp;boardgroupid=1258&amp;mode_type=history&amp;date_from=2025-07-28</t>
  </si>
  <si>
    <t>https://ru.investing.com/equities/xilinx-inc-historical-data</t>
  </si>
  <si>
    <t>XLNX</t>
  </si>
  <si>
    <t>US9837931008</t>
  </si>
  <si>
    <t>XPO, Inc.</t>
  </si>
  <si>
    <t>https://www.moex.com/ru/marketdata/#/mode=instrument&amp;secid=XPO-RM&amp;boardgroupid=1258&amp;mode_type=history&amp;date_from=2025-07-28</t>
  </si>
  <si>
    <t>https://ru.investing.com/equities/xpo-logistics-historical-data</t>
  </si>
  <si>
    <t>XPO</t>
  </si>
  <si>
    <t>US98419M1009</t>
  </si>
  <si>
    <t>Xylem Inc. ORD SHS</t>
  </si>
  <si>
    <t>https://www.moex.com/ru/marketdata/#/mode=instrument&amp;secid=XYL-RM&amp;boardgroupid=1258&amp;mode_type=history&amp;date_from=2025-07-28</t>
  </si>
  <si>
    <t>https://ru.investing.com/equities/xylem-historical-data</t>
  </si>
  <si>
    <t>XYL</t>
  </si>
  <si>
    <t>US98585X1046</t>
  </si>
  <si>
    <t>YETI Holdings, Inc. ORD SHS</t>
  </si>
  <si>
    <t>https://www.moex.com/ru/marketdata/#/mode=instrument&amp;secid=YETI-RM&amp;boardgroupid=1258&amp;mode_type=history&amp;date_from=2025-07-28</t>
  </si>
  <si>
    <t>https://ru.investing.com/equities/yeti-holdings-historical-data</t>
  </si>
  <si>
    <t>YETI</t>
  </si>
  <si>
    <t>US98585N1063</t>
  </si>
  <si>
    <t>Yext, Inc. ORD SHS</t>
  </si>
  <si>
    <t>https://www.moex.com/ru/marketdata/#/mode=instrument&amp;secid=YEXT-RM&amp;boardgroupid=1258&amp;mode_type=history&amp;date_from=2025-07-28</t>
  </si>
  <si>
    <t>https://ru.investing.com/equities/yext-inc-historical-data</t>
  </si>
  <si>
    <t>YEXT</t>
  </si>
  <si>
    <t>US9884981013</t>
  </si>
  <si>
    <t>Yum Brands, Inc.ORD SHS</t>
  </si>
  <si>
    <t>https://www.moex.com/ru/marketdata/#/mode=instrument&amp;secid=YUM-RM&amp;boardgroupid=1258&amp;mode_type=history&amp;date_from=2025-07-28</t>
  </si>
  <si>
    <t>https://ru.investing.com/equities/yum!-brands-inc-historical-data</t>
  </si>
  <si>
    <t>YUM</t>
  </si>
  <si>
    <t>US98850P1093</t>
  </si>
  <si>
    <t>Yum China Holdings Inc ORD SHS</t>
  </si>
  <si>
    <t>https://www.moex.com/ru/marketdata/#/mode=instrument&amp;secid=YUMC-RM&amp;boardgroupid=1258&amp;mode_type=history&amp;date_from=2025-07-28</t>
  </si>
  <si>
    <t>https://ru.investing.com/equities/yum-china-holdings-inc-historical-data</t>
  </si>
  <si>
    <t>YUMC</t>
  </si>
  <si>
    <t>US9892071054</t>
  </si>
  <si>
    <t>Zebra Technologies ORD SHS A</t>
  </si>
  <si>
    <t>https://www.moex.com/ru/marketdata/#/mode=instrument&amp;secid=ZBRA-RM&amp;boardgroupid=1258&amp;mode_type=history&amp;date_from=2025-07-28</t>
  </si>
  <si>
    <t>https://ru.investing.com/equities/zebra-tech-historical-data</t>
  </si>
  <si>
    <t>ZBRA</t>
  </si>
  <si>
    <t>US98954M2008</t>
  </si>
  <si>
    <t>Zillow Group ORD SHS CL C</t>
  </si>
  <si>
    <t>https://www.moex.com/ru/marketdata/#/mode=instrument&amp;secid=Z-RM&amp;boardgroupid=1258&amp;mode_type=history&amp;date_from=2025-07-28</t>
  </si>
  <si>
    <t>https://ru.investing.com/equities/zillow-historical-data</t>
  </si>
  <si>
    <t>Z</t>
  </si>
  <si>
    <t>Прочее строительство</t>
  </si>
  <si>
    <t>US98956P1021</t>
  </si>
  <si>
    <t>Zimmer Biomet Hold ORD SHS</t>
  </si>
  <si>
    <t>https://www.moex.com/ru/marketdata/#/mode=instrument&amp;secid=ZBH-RM&amp;boardgroupid=1258&amp;mode_type=history&amp;date_from=2025-07-28</t>
  </si>
  <si>
    <t>https://ru.investing.com/equities/zimmer-hldgs-historical-data</t>
  </si>
  <si>
    <t>ZBH</t>
  </si>
  <si>
    <t>US9897011071</t>
  </si>
  <si>
    <t>Zions Bancorp NA ORD SHS</t>
  </si>
  <si>
    <t>https://www.moex.com/ru/marketdata/#/mode=instrument&amp;secid=ZION-RM&amp;boardgroupid=1258&amp;mode_type=history&amp;date_from=2025-07-28</t>
  </si>
  <si>
    <t>https://ru.investing.com/equities/zions-bancorp-historical-data</t>
  </si>
  <si>
    <t>ZION</t>
  </si>
  <si>
    <t>US98980B1035</t>
  </si>
  <si>
    <t>ZipRecruiter, Inc ORD SHS CL A</t>
  </si>
  <si>
    <t>https://www.moex.com/ru/marketdata/#/mode=instrument&amp;secid=ZIP-RM&amp;boardgroupid=1258&amp;mode_type=history&amp;date_from=2025-07-28</t>
  </si>
  <si>
    <t>https://ru.investing.com/equities/ziprecruiter-historical-data</t>
  </si>
  <si>
    <t>ZIP</t>
  </si>
  <si>
    <t>US98978V1035</t>
  </si>
  <si>
    <t>Zoetis Inc. ORD SHS</t>
  </si>
  <si>
    <t>https://www.moex.com/ru/marketdata/#/mode=instrument&amp;secid=ZTS-RM&amp;boardgroupid=1258&amp;mode_type=history&amp;date_from=2025-07-28</t>
  </si>
  <si>
    <t>https://ru.investing.com/equities/zoetis-inc-historical-data</t>
  </si>
  <si>
    <t>ZTS</t>
  </si>
  <si>
    <t>US98980L1017</t>
  </si>
  <si>
    <t>Zoom Video</t>
  </si>
  <si>
    <t>https://www.moex.com/ru/marketdata/#/mode=instrument&amp;secid=ZM-RM&amp;boardgroupid=1258&amp;mode_type=history&amp;date_from=2025-04-28</t>
  </si>
  <si>
    <t>https://ru.investing.com/equities/zoom-video-communications-historical-data</t>
  </si>
  <si>
    <t>ZM</t>
  </si>
  <si>
    <t xml:space="preserve"> IT компания, коммуникационные технологии</t>
  </si>
  <si>
    <t>US98980F1049</t>
  </si>
  <si>
    <t>ZoomInfo Technologies ORD</t>
  </si>
  <si>
    <t>https://www.moex.com/ru/marketdata/#/mode=instrument&amp;secid=ZI-RM&amp;boardgroupid=1258&amp;mode_type=history&amp;date_from=2025-07-28</t>
  </si>
  <si>
    <t>https://ru.investing.com/equities/zoominfo-technologies-inc-historical-data</t>
  </si>
  <si>
    <t>ZI</t>
  </si>
  <si>
    <t>US98980G1022</t>
  </si>
  <si>
    <t>Zscaler, Inc. ORD SHS</t>
  </si>
  <si>
    <t>https://www.moex.com/ru/marketdata/#/mode=instrument&amp;secid=ZS-RM&amp;boardgroupid=1258&amp;mode_type=history&amp;date_from=2025-07-28</t>
  </si>
  <si>
    <t>https://ru.investing.com/equities/zscaler-inc-historical-data</t>
  </si>
  <si>
    <t>ZS</t>
  </si>
  <si>
    <t>US98986X1090</t>
  </si>
  <si>
    <t>Zynerba Pharmaceuticals, Inc.</t>
  </si>
  <si>
    <t>https://www.moex.com/ru/marketdata/#/mode=instrument&amp;secid=ZYNE-RM&amp;boardgroupid=1258&amp;mode_type=history&amp;date_from=2025-07-28</t>
  </si>
  <si>
    <t>https://ru.investing.com/equities/zynerba-pharmaceuticals-inc-historical-data</t>
  </si>
  <si>
    <t>ZYNE</t>
  </si>
  <si>
    <t>US98986M1036</t>
  </si>
  <si>
    <t>Zynex</t>
  </si>
  <si>
    <t>ZYXI</t>
  </si>
  <si>
    <t>Производитель медицинского оборудования,</t>
  </si>
  <si>
    <t>US01609W1027</t>
  </si>
  <si>
    <t xml:space="preserve">АДР Alibaba Group Holding LTD ADR </t>
  </si>
  <si>
    <t>https://www.moex.com/ru/marketdata/#/mode=instrument&amp;secid=BABA-RM&amp;boardgroupid=1258&amp;mode_type=history&amp;date_from=2025-07-28</t>
  </si>
  <si>
    <t>https://ru.investing.com/equities/alibaba-historical-data</t>
  </si>
  <si>
    <t>BABA</t>
  </si>
  <si>
    <t>US0567521085</t>
  </si>
  <si>
    <t xml:space="preserve">АДР Baidu, Inc. ORD SHS ADR </t>
  </si>
  <si>
    <t>https://www.moex.com/ru/marketdata/#/mode=instrument&amp;secid=BIDU-RM&amp;boardgroupid=1258&amp;mode_type=history&amp;date_from=2025-07-28</t>
  </si>
  <si>
    <t>https://ru.investing.com/equities/baidu.com-historical-data</t>
  </si>
  <si>
    <t>BIDU</t>
  </si>
  <si>
    <t>US0900401060</t>
  </si>
  <si>
    <t xml:space="preserve">АДР Bilibili ADR Class Z ADR </t>
  </si>
  <si>
    <t>https://www.moex.com/ru/marketdata/#/mode=instrument&amp;secid=BILI-RM&amp;boardgroupid=1258&amp;mode_type=history&amp;date_from=2025-07-28</t>
  </si>
  <si>
    <t>https://ru.investing.com/equities/bilibili-inc-historical-data</t>
  </si>
  <si>
    <t>BILI</t>
  </si>
  <si>
    <t>US4234031049</t>
  </si>
  <si>
    <t xml:space="preserve">АДР Hello Group Inc. ADR </t>
  </si>
  <si>
    <t>https://www.moex.com/ru/marketdata/#/mode=instrument&amp;secid=MOMO-RM&amp;boardgroupid=1258&amp;mode_type=history&amp;date_from=2025-07-28</t>
  </si>
  <si>
    <t>https://ru.investing.com/equities/momo-inc-historical-data</t>
  </si>
  <si>
    <t>MOMO</t>
  </si>
  <si>
    <t>US47215P1066</t>
  </si>
  <si>
    <t xml:space="preserve">АДР JD.com, Inc. ADR </t>
  </si>
  <si>
    <t>https://www.moex.com/ru/marketdata/#/mode=instrument&amp;secid=JD-RM&amp;boardgroupid=1258&amp;mode_type=history&amp;date_from=2025-07-28</t>
  </si>
  <si>
    <t>https://ru.investing.com/equities/jd.com-inc-adr-historical-data</t>
  </si>
  <si>
    <t>JD</t>
  </si>
  <si>
    <t>US50202M1027</t>
  </si>
  <si>
    <t xml:space="preserve">АДР Li Auto Inc. ADR </t>
  </si>
  <si>
    <t>https://www.moex.com/ru/marketdata/#/mode=instrument&amp;secid=LI-RM&amp;boardgroupid=1258&amp;mode_type=history&amp;date_from=2025-07-28</t>
  </si>
  <si>
    <t>https://ru.investing.com/equities/li-auto-inc-historical-data</t>
  </si>
  <si>
    <t>LI</t>
  </si>
  <si>
    <t>US62914V1061</t>
  </si>
  <si>
    <t xml:space="preserve">АДР Nio Inc. ADR </t>
  </si>
  <si>
    <t>https://www.moex.com/ru/marketdata/#/mode=instrument&amp;secid=NIO-RM&amp;boardgroupid=1258&amp;mode_type=history&amp;date_from=2025-07-28</t>
  </si>
  <si>
    <t>https://ru.investing.com/equities/nio-inc-historical-data</t>
  </si>
  <si>
    <t>NIO</t>
  </si>
  <si>
    <t>US66987V1098</t>
  </si>
  <si>
    <t xml:space="preserve">АДР Novartis AG ORD SHS ADR </t>
  </si>
  <si>
    <t>https://www.moex.com/ru/marketdata/#/mode=instrument&amp;secid=NVS-RM&amp;boardgroupid=1258&amp;mode_type=history&amp;date_from=2025-07-28</t>
  </si>
  <si>
    <t>https://ru.investing.com/equities/novartis-ag-historical-data</t>
  </si>
  <si>
    <t>NVS</t>
  </si>
  <si>
    <t>US71646E1001</t>
  </si>
  <si>
    <t xml:space="preserve">АДР PetroChina Co Ltd ORD SHS ADR </t>
  </si>
  <si>
    <t>https://www.moex.com/ru/marketdata/#/mode=instrument&amp;secid=PTR-RM&amp;boardgroupid=1258&amp;mode_type=history&amp;date_from=2025-07-28</t>
  </si>
  <si>
    <t>https://ru.investing.com/equities/petrochina-co-ads-exch-historical-data</t>
  </si>
  <si>
    <t>PTR</t>
  </si>
  <si>
    <t>US8030542042</t>
  </si>
  <si>
    <t xml:space="preserve">АДР SAP SE ADR </t>
  </si>
  <si>
    <t>https://www.moex.com/ru/marketdata/#/mode=instrument&amp;secid=SAP-RM&amp;boardgroupid=1258&amp;mode_type=history&amp;date_from=2025-07-28</t>
  </si>
  <si>
    <t>https://ru.investing.com/equities/sap-ag-ads-exch-historical-data</t>
  </si>
  <si>
    <t>SAP</t>
  </si>
  <si>
    <t>US8356993076</t>
  </si>
  <si>
    <t xml:space="preserve">АДР Sony Group Corp ORD SHS ADR </t>
  </si>
  <si>
    <t>https://www.moex.com/ru/marketdata/#/mode=instrument&amp;secid=SONY-RM&amp;boardgroupid=1258&amp;mode_type=history&amp;date_from=2025-07-28</t>
  </si>
  <si>
    <t>https://ru.investing.com/equities/sony-historical-data</t>
  </si>
  <si>
    <t>SONY</t>
  </si>
  <si>
    <t>Япония</t>
  </si>
  <si>
    <t>US8740391003</t>
  </si>
  <si>
    <t>АДР Taiwan Semiconductor Manuf ADR</t>
  </si>
  <si>
    <t>https://www.moex.com/ru/marketdata/#/mode=instrument&amp;secid=TSM-RM&amp;boardgroupid=1258&amp;mode_type=history&amp;date_from=2025-07-28</t>
  </si>
  <si>
    <t>https://ru.investing.com/equities/taiwan-semicond.manufacturing-co-historical-data</t>
  </si>
  <si>
    <t>TSM</t>
  </si>
  <si>
    <t>Тайвань</t>
  </si>
  <si>
    <t>US8740801043</t>
  </si>
  <si>
    <t xml:space="preserve">АДР TAL Education Group ADR </t>
  </si>
  <si>
    <t>https://www.moex.com/ru/marketdata/#/mode=instrument&amp;secid=TAL-RM&amp;boardgroupid=1258&amp;mode_type=history&amp;date_from=2025-07-28</t>
  </si>
  <si>
    <t>https://ru.investing.com/equities/tal-education-group-historical-data</t>
  </si>
  <si>
    <t>TAL</t>
  </si>
  <si>
    <t>US8923313071</t>
  </si>
  <si>
    <t xml:space="preserve">АДР Toyota Motor Corp ORD SHS ADR </t>
  </si>
  <si>
    <t>https://www.moex.com/ru/marketdata/#/mode=instrument&amp;secid=TM-RM&amp;boardgroupid=1258&amp;mode_type=history&amp;date_from=2025-07-28</t>
  </si>
  <si>
    <t>https://ru.investing.com/equities/toyota-historical-data</t>
  </si>
  <si>
    <t>TM</t>
  </si>
  <si>
    <t>US92763W1036</t>
  </si>
  <si>
    <t xml:space="preserve">АДР Vipshop Holdings Ltd ADR </t>
  </si>
  <si>
    <t>https://www.moex.com/ru/marketdata/#/mode=instrument&amp;secid=VIPS-RM&amp;boardgroupid=1258&amp;mode_type=history&amp;date_from=2025-07-28</t>
  </si>
  <si>
    <t>https://ru.investing.com/equities/vipshop-holdings-historical-data</t>
  </si>
  <si>
    <t>VIPS</t>
  </si>
  <si>
    <t>US98422D1054</t>
  </si>
  <si>
    <t xml:space="preserve">АДР XPeng ADR Class A ADR </t>
  </si>
  <si>
    <t>https://www.moex.com/ru/marketdata/#/mode=instrument&amp;secid=XPEV-RM&amp;boardgroupid=1258&amp;mode_type=history&amp;date_from=2025-07-28</t>
  </si>
  <si>
    <t>https://ru.investing.com/equities/xpeng-inc-historical-data</t>
  </si>
  <si>
    <t>XPEV</t>
  </si>
  <si>
    <t>Среднее</t>
  </si>
  <si>
    <t>Стандартное отклонение по выборке</t>
  </si>
  <si>
    <t>Среднеарифметическое значение</t>
  </si>
  <si>
    <t>Коэффициент вариации</t>
  </si>
  <si>
    <t>https://www.moex.com/ru/marketdata/#/mode=instrument&amp;secid=CPAY-RM&amp;boardgroupid=1258&amp;mode_type=history&amp;date_from=2025-11-28</t>
  </si>
  <si>
    <t>https://ru.investing.com/equities/fleetcor-tech-historical-data</t>
  </si>
  <si>
    <t>https://www.moex.com/ru/marketdata/#/mode=instrument&amp;secid=VRNS-RM&amp;boardgroupid=1258&amp;mode_type=history&amp;date_from=2025-11-28</t>
  </si>
  <si>
    <t>https://ru.investing.com/equities/varonis-systems-historical-data</t>
  </si>
  <si>
    <t>Пай Financial Sector SPDR ETF</t>
  </si>
  <si>
    <t>https://www.moex.com/ru/marketdata/#/mode=instrument&amp;secid=XLF-RM&amp;boardgroupid=1258&amp;mode_type=history&amp;date_from=2025-11-28</t>
  </si>
  <si>
    <t>https://ru.investing.com/etfs/financial-select-sector-spdr-fund-historical-data</t>
  </si>
  <si>
    <t>Пай First Trust Cloud Computing ET</t>
  </si>
  <si>
    <t>https://www.moex.com/ru/marketdata/#/mode=instrument&amp;secid=SKYY-RM&amp;boardgroupid=1258&amp;mode_type=history&amp;date_from=2025-11-28</t>
  </si>
  <si>
    <t>https://ru.investing.com/etfs/ise-cloud-computing-historical-data</t>
  </si>
  <si>
    <t>Пай Global X Lithium &amp; Battery ETF</t>
  </si>
  <si>
    <t>https://www.moex.com/ru/marketdata/#/mode=instrument&amp;secid=LIT-RM&amp;boardgroupid=1258&amp;mode_type=history&amp;date_from=2025-11-28</t>
  </si>
  <si>
    <t>https://ru.investing.com/etfs/global-x-lithium-historical-data</t>
  </si>
  <si>
    <t>Пай Global X Robotics &amp; AI ETF</t>
  </si>
  <si>
    <t>https://www.moex.com/ru/marketdata/#/mode=instrument&amp;secid=BOTZ-RM&amp;boardgroupid=1258&amp;mode_type=history&amp;date_from=2025-11-28</t>
  </si>
  <si>
    <t>https://ru.investing.com/etfs/global-x-robotics---ai-usd-historical-data</t>
  </si>
  <si>
    <t>Пай iShares Global CleanEnergy ETF</t>
  </si>
  <si>
    <t>https://www.moex.com/ru/marketdata/#/mode=instrument&amp;secid=ICLN-RM&amp;boardgroupid=1258&amp;mode_type=history&amp;date_from=2025-11-28</t>
  </si>
  <si>
    <t>https://ru.investing.com/etfs/ishares-s-p-global-clean-energy-historical-data</t>
  </si>
  <si>
    <t>Пай iShares Global Infrastr. ETF</t>
  </si>
  <si>
    <t>https://www.moex.com/ru/marketdata/#/mode=instrument&amp;secid=IGF-RM&amp;boardgroupid=1258&amp;mode_type=history&amp;date_from=2025-11-28</t>
  </si>
  <si>
    <t>https://ru.investing.com/etfs/ishares-s-p-global-infrastructure-historical-data</t>
  </si>
  <si>
    <t>Пай iShares MSCI China ETF</t>
  </si>
  <si>
    <t>https://www.moex.com/ru/marketdata/#/mode=instrument&amp;secid=MCHI-RM&amp;boardgroupid=1258&amp;mode_type=history&amp;date_from=2025-11-28</t>
  </si>
  <si>
    <t>https://ru.investing.com/etfs/ishares-msci-china-historical-data</t>
  </si>
  <si>
    <t>Пай iShares MSCI EM ETF</t>
  </si>
  <si>
    <t>https://www.moex.com/ru/marketdata/#/mode=instrument&amp;secid=EEM-RM&amp;boardgroupid=1258&amp;mode_type=history&amp;date_from=2025-11-28</t>
  </si>
  <si>
    <t>https://ru.investing.com/etfs/ishares-msci-emg-markets-historical-data</t>
  </si>
  <si>
    <t>Пай iShares MSCI USA Momentum ETF</t>
  </si>
  <si>
    <t>https://www.moex.com/ru/marketdata/#/mode=instrument&amp;secid=MTUM-RM&amp;boardgroupid=1258&amp;mode_type=history&amp;date_from=2025-11-28</t>
  </si>
  <si>
    <t>https://ru.investing.com/etfs/ishares-msci-usa-moment-factor-historical-data</t>
  </si>
  <si>
    <t>Пай iShares U.S. Real Estate ETF</t>
  </si>
  <si>
    <t>https://www.moex.com/ru/marketdata/#/mode=instrument&amp;secid=IYR-RM&amp;boardgroupid=1258&amp;mode_type=history&amp;date_from=2025-11-28</t>
  </si>
  <si>
    <t>https://ru.investing.com/etfs/ishares-dow-jones-us-real-est-historical-data</t>
  </si>
  <si>
    <t>Пай KraneShares China Internet ETF</t>
  </si>
  <si>
    <t>https://www.moex.com/ru/marketdata/#/mode=instrument&amp;secid=KWEB-RM&amp;boardgroupid=1258&amp;mode_type=history&amp;date_from=2025-11-28</t>
  </si>
  <si>
    <t>https://ru.investing.com/etfs/kraneshares-csi-china-internet-historical-data</t>
  </si>
  <si>
    <t>Пай ProShares Online Retail ETF</t>
  </si>
  <si>
    <t>https://www.moex.com/ru/marketdata/#/mode=instrument&amp;secid=ONLN-RM&amp;boardgroupid=1258&amp;mode_type=history&amp;date_from=2025-11-28</t>
  </si>
  <si>
    <t>https://ru.investing.com/etfs/proshares-online-retail-historical-data</t>
  </si>
  <si>
    <t>Пай SPDR S&amp;P 500 ETF Trust</t>
  </si>
  <si>
    <t>https://www.moex.com/ru/marketdata/#/mode=instrument&amp;secid=SPY-RM&amp;boardgroupid=1258&amp;mode_type=history&amp;date_from=2025-11-28</t>
  </si>
  <si>
    <t>https://ru.investing.com/etfs/spdr-s-p-500-historical-data</t>
  </si>
  <si>
    <t>Пай The Energy Sector SPDR ETF</t>
  </si>
  <si>
    <t>https://www.moex.com/ru/marketdata/#/mode=instrument&amp;secid=XLE-RM&amp;boardgroupid=1258&amp;mode_type=history&amp;date_from=2025-11-28</t>
  </si>
  <si>
    <t>https://ru.investing.com/etfs/spdr-energy-select-sector-fund-historical-data</t>
  </si>
  <si>
    <t>Пай The Health Care SPDR ETF</t>
  </si>
  <si>
    <t>https://www.moex.com/ru/marketdata/#/mode=instrument&amp;secid=XLV-RM&amp;boardgroupid=1258&amp;mode_type=history&amp;date_from=2025-11-28</t>
  </si>
  <si>
    <t>https://ru.investing.com/etfs/spdr---health-care-historical-data</t>
  </si>
  <si>
    <t>Пай U.S. Global Jets ETF</t>
  </si>
  <si>
    <t>https://www.moex.com/ru/marketdata/#/mode=instrument&amp;secid=JETS-RM&amp;boardgroupid=1258&amp;mode_type=history&amp;date_from=2025-11-28</t>
  </si>
  <si>
    <t>https://ru.investing.com/etfs/us-global-jets-historical-data</t>
  </si>
  <si>
    <t>Пай Vanguard Communic Services ETF</t>
  </si>
  <si>
    <t>https://www.moex.com/ru/marketdata/#/mode=instrument&amp;secid=VOX-RM&amp;boardgroupid=1258&amp;mode_type=history&amp;date_from=2025-11-28</t>
  </si>
  <si>
    <t>https://ru.investing.com/etfs/vanguard-telecom-historical-data</t>
  </si>
  <si>
    <t>Пай VANGUARD INFORMATION TECHNOLOGY ETF</t>
  </si>
  <si>
    <t>https://www.moex.com/ru/marketdata/#/mode=instrument&amp;secid=VGT-RM&amp;boardgroupid=1258&amp;mode_type=history&amp;date_from=2025-11-28</t>
  </si>
  <si>
    <t>https://ru.investing.com/etfs/vanguard-information-tech-historical-data</t>
  </si>
  <si>
    <t>Пай Vanguard S&amp;P 500 ETF</t>
  </si>
  <si>
    <t>https://www.moex.com/ru/marketdata/#/mode=instrument&amp;secid=VOO-RM&amp;boardgroupid=1258&amp;mode_type=history&amp;date_from=2025-11-28</t>
  </si>
  <si>
    <t>https://ru.investing.com/etfs/vanguard-s-p-500-historical-data</t>
  </si>
  <si>
    <t>Пай VANGUARD TOTAL INTERNATIONAL STOCK ETF</t>
  </si>
  <si>
    <t>https://www.moex.com/ru/marketdata/#/mode=instrument&amp;secid=VXUS-RM&amp;boardgroupid=1258&amp;mode_type=history&amp;date_from=2025-11-28</t>
  </si>
  <si>
    <t>https://ru.investing.com/etfs/vanguard-total-intl-stock-historical-data</t>
  </si>
  <si>
    <t>GOOG</t>
  </si>
  <si>
    <t>BRKB</t>
  </si>
  <si>
    <t>CLOV</t>
  </si>
  <si>
    <t>AT</t>
  </si>
  <si>
    <t>ROKU</t>
  </si>
  <si>
    <t>XLF</t>
  </si>
  <si>
    <t>SKYY</t>
  </si>
  <si>
    <t>LIT</t>
  </si>
  <si>
    <t>BOTZ</t>
  </si>
  <si>
    <t>ICLN</t>
  </si>
  <si>
    <t>IGF</t>
  </si>
  <si>
    <t>MCHI</t>
  </si>
  <si>
    <t>EEM</t>
  </si>
  <si>
    <t>MTUM</t>
  </si>
  <si>
    <t>IYR</t>
  </si>
  <si>
    <t>KWEB</t>
  </si>
  <si>
    <t>ONLN</t>
  </si>
  <si>
    <t>SPY</t>
  </si>
  <si>
    <t>XLE</t>
  </si>
  <si>
    <t>XLV</t>
  </si>
  <si>
    <t>JETS</t>
  </si>
  <si>
    <t>CPAY</t>
  </si>
  <si>
    <t>VRNS</t>
  </si>
  <si>
    <t>VOX</t>
  </si>
  <si>
    <t>VGT</t>
  </si>
  <si>
    <t>VOO</t>
  </si>
  <si>
    <t>VXUS</t>
  </si>
  <si>
    <t>https://www.moex.com/ru/marketdata/#/mode=instrument&amp;secid=AXSM-RM&amp;boardgroupid=1258&amp;mode_type=history&amp;date_from=2025-12-14</t>
  </si>
  <si>
    <t>https://ru.investing.com/equities/axsome-therapeutics-inc-historical-data</t>
  </si>
  <si>
    <t>US69932A2042</t>
  </si>
  <si>
    <t>Paramount Skydance Corporation ORD SHS CL B</t>
  </si>
  <si>
    <t>https://ru.investing.com/equities/viacom-cl-b-historical-data</t>
  </si>
  <si>
    <t>PSKY</t>
  </si>
  <si>
    <t>Медиа. Произодство кинофильмов и сопутствующих услуг</t>
  </si>
  <si>
    <t>https://cbr.ru/currency_base/daily/?UniDbQuery.Posted=True&amp;UniDbQuery.To=15.08.2026</t>
  </si>
  <si>
    <t>https://www.moex.com/ru/marketdata/#/mode=instrument&amp;secid=CAT-RM&amp;boardgroupid=1258&amp;mode_type=history&amp;date_from=2025-11-28&amp;date_till=2026-08-27</t>
  </si>
  <si>
    <t>https://ru.investing.com/equities/caterpillar-historical-data</t>
  </si>
  <si>
    <t>US2199481068</t>
  </si>
  <si>
    <t>US9222801022</t>
  </si>
  <si>
    <t>US81369Y6059</t>
  </si>
  <si>
    <t>US33734X1928</t>
  </si>
  <si>
    <t>US37954Y8553</t>
  </si>
  <si>
    <t>US37954Y7159</t>
  </si>
  <si>
    <t>US4642882249</t>
  </si>
  <si>
    <t>US4642883726</t>
  </si>
  <si>
    <t>US46429B6719</t>
  </si>
  <si>
    <t>US4642872349</t>
  </si>
  <si>
    <t>US46432F3964</t>
  </si>
  <si>
    <t>US4642877397</t>
  </si>
  <si>
    <t>US5007673065</t>
  </si>
  <si>
    <t>US74347B1695</t>
  </si>
  <si>
    <t>US78462F1030</t>
  </si>
  <si>
    <t>US81369Y5069</t>
  </si>
  <si>
    <t>US81369Y2090</t>
  </si>
  <si>
    <t>US26922A8421</t>
  </si>
  <si>
    <t>US92204A8844</t>
  </si>
  <si>
    <t>US92204A7028</t>
  </si>
  <si>
    <t>US9229083632</t>
  </si>
  <si>
    <t>US9219097683</t>
  </si>
  <si>
    <r>
      <rPr>
        <sz val="11"/>
        <rFont val="Calibri"/>
        <family val="2"/>
        <charset val="204"/>
      </rPr>
      <t>Corpay, Inc. ORD SHS</t>
    </r>
  </si>
  <si>
    <r>
      <rPr>
        <sz val="11"/>
        <rFont val="Calibri"/>
        <family val="2"/>
        <charset val="204"/>
      </rPr>
      <t>Varonis Systems, Inc. ORD SHS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</si>
</sst>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\.mm\.yyyy"/>
    <numFmt numFmtId="165" formatCode="0.0000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1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06918546098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4" fontId="4" fillId="2" borderId="0" xfId="0" applyNumberFormat="1" applyFont="1" applyFill="1" applyAlignment="1">
      <alignment vertical="center"/>
    </xf>
    <xf numFmtId="43" fontId="4" fillId="2" borderId="0" xfId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3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43" fontId="4" fillId="0" borderId="1" xfId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0" fontId="4" fillId="0" borderId="1" xfId="2" applyNumberFormat="1" applyFont="1" applyBorder="1" applyAlignment="1">
      <alignment vertical="center"/>
    </xf>
    <xf numFmtId="0" fontId="3" fillId="0" borderId="1" xfId="3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/>
    <xf numFmtId="0" fontId="4" fillId="0" borderId="0" xfId="0" applyFont="1" applyAlignment="1">
      <alignment horizontal="right" vertical="center"/>
    </xf>
    <xf numFmtId="0" fontId="2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3" fillId="0" borderId="1" xfId="3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3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4" fillId="2" borderId="0" xfId="0" applyFont="1" applyFill="1" applyAlignment="1">
      <alignment vertical="center"/>
    </xf>
    <xf numFmtId="0" fontId="2" fillId="2" borderId="0" xfId="0" applyFont="1" applyFill="1"/>
    <xf numFmtId="0" fontId="2" fillId="4" borderId="0" xfId="0" applyFont="1" applyFill="1"/>
    <xf numFmtId="0" fontId="7" fillId="0" borderId="0" xfId="0" applyFont="1" applyAlignment="1">
      <alignment vertical="center"/>
    </xf>
    <xf numFmtId="0" fontId="2" fillId="4" borderId="1" xfId="0" applyFont="1" applyFill="1" applyBorder="1"/>
    <xf numFmtId="0" fontId="4" fillId="0" borderId="1" xfId="0" applyFont="1" applyBorder="1"/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vertical="center"/>
    </xf>
    <xf numFmtId="0" fontId="0" fillId="2" borderId="1" xfId="0" applyFill="1" applyBorder="1"/>
    <xf numFmtId="0" fontId="0" fillId="2" borderId="0" xfId="0" applyFill="1"/>
    <xf numFmtId="0" fontId="4" fillId="0" borderId="1" xfId="0" applyFont="1" applyBorder="1" applyAlignment="1">
      <alignment horizontal="right" vertical="center"/>
    </xf>
    <xf numFmtId="10" fontId="7" fillId="0" borderId="1" xfId="1" applyNumberFormat="1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43" fontId="4" fillId="0" borderId="0" xfId="1" applyFont="1" applyAlignment="1">
      <alignment horizontal="right" vertical="center"/>
    </xf>
    <xf numFmtId="10" fontId="4" fillId="0" borderId="0" xfId="0" applyNumberFormat="1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6" fillId="10" borderId="2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left" vertical="center"/>
    </xf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ru.investing.com/equities/academy-sports-outdoors-inc-historical-data" TargetMode="External"/><Relationship Id="rId170" Type="http://schemas.openxmlformats.org/officeDocument/2006/relationships/hyperlink" Target="https://www.moex.com/ru/marketdata/" TargetMode="External"/><Relationship Id="rId268" Type="http://schemas.openxmlformats.org/officeDocument/2006/relationships/hyperlink" Target="https://www.moex.com/ru/marketdata/" TargetMode="External"/><Relationship Id="rId475" Type="http://schemas.openxmlformats.org/officeDocument/2006/relationships/hyperlink" Target="https://www.moex.com/ru/marketdata/" TargetMode="External"/><Relationship Id="rId682" Type="http://schemas.openxmlformats.org/officeDocument/2006/relationships/hyperlink" Target="https://ru.investing.com/equities/lincoln-natl-historical-data" TargetMode="External"/><Relationship Id="rId128" Type="http://schemas.openxmlformats.org/officeDocument/2006/relationships/hyperlink" Target="https://www.moex.com/ru/marketdata/" TargetMode="External"/><Relationship Id="rId335" Type="http://schemas.openxmlformats.org/officeDocument/2006/relationships/hyperlink" Target="https://www.moex.com/ru/marketdata/" TargetMode="External"/><Relationship Id="rId542" Type="http://schemas.openxmlformats.org/officeDocument/2006/relationships/hyperlink" Target="https://ru.investing.com/equities/goodyear-tire-historical-data" TargetMode="External"/><Relationship Id="rId987" Type="http://schemas.openxmlformats.org/officeDocument/2006/relationships/hyperlink" Target="https://www.moex.com/ru/marketdata/" TargetMode="External"/><Relationship Id="rId1172" Type="http://schemas.openxmlformats.org/officeDocument/2006/relationships/hyperlink" Target="https://ru.investing.com/equities/urban-outfitters-historical-data" TargetMode="External"/><Relationship Id="rId402" Type="http://schemas.openxmlformats.org/officeDocument/2006/relationships/hyperlink" Target="https://ru.investing.com/equities/du-pont-historical-data" TargetMode="External"/><Relationship Id="rId847" Type="http://schemas.openxmlformats.org/officeDocument/2006/relationships/hyperlink" Target="https://www.moex.com/ru/marketdata/" TargetMode="External"/><Relationship Id="rId1032" Type="http://schemas.openxmlformats.org/officeDocument/2006/relationships/hyperlink" Target="https://ru.investing.com/equities/stryker-historical-data" TargetMode="External"/><Relationship Id="rId707" Type="http://schemas.openxmlformats.org/officeDocument/2006/relationships/hyperlink" Target="https://www.moex.com/ru/marketdata/" TargetMode="External"/><Relationship Id="rId914" Type="http://schemas.openxmlformats.org/officeDocument/2006/relationships/hyperlink" Target="https://ru.investing.com/equities/pvh-historical-data" TargetMode="External"/><Relationship Id="rId1337" Type="http://schemas.openxmlformats.org/officeDocument/2006/relationships/hyperlink" Target="https://ru.investing.com/etfs/ishares-msci-emg-markets-historical-data" TargetMode="External"/><Relationship Id="rId43" Type="http://schemas.openxmlformats.org/officeDocument/2006/relationships/hyperlink" Target="https://ru.investing.com/equities/alaska-air-historical-data" TargetMode="External"/><Relationship Id="rId192" Type="http://schemas.openxmlformats.org/officeDocument/2006/relationships/hyperlink" Target="https://www.moex.com/ru/marketdata/" TargetMode="External"/><Relationship Id="rId497" Type="http://schemas.openxmlformats.org/officeDocument/2006/relationships/hyperlink" Target="https://www.moex.com/ru/marketdata/" TargetMode="External"/><Relationship Id="rId357" Type="http://schemas.openxmlformats.org/officeDocument/2006/relationships/hyperlink" Target="https://www.moex.com/ru/marketdata/" TargetMode="External"/><Relationship Id="rId1194" Type="http://schemas.openxmlformats.org/officeDocument/2006/relationships/hyperlink" Target="https://ru.investing.com/equities/mylan-inc-historical-data" TargetMode="External"/><Relationship Id="rId217" Type="http://schemas.openxmlformats.org/officeDocument/2006/relationships/hyperlink" Target="https://ru.investing.com/equities/carvana-historical-data" TargetMode="External"/><Relationship Id="rId564" Type="http://schemas.openxmlformats.org/officeDocument/2006/relationships/hyperlink" Target="https://ru.investing.com/equities/hilton-worldwide-historical-data" TargetMode="External"/><Relationship Id="rId771" Type="http://schemas.openxmlformats.org/officeDocument/2006/relationships/hyperlink" Target="https://www.moex.com/ru/marketdata/" TargetMode="External"/><Relationship Id="rId869" Type="http://schemas.openxmlformats.org/officeDocument/2006/relationships/hyperlink" Target="https://www.moex.com/ru/marketdata/" TargetMode="External"/><Relationship Id="rId424" Type="http://schemas.openxmlformats.org/officeDocument/2006/relationships/hyperlink" Target="https://ru.investing.com/equities/electronic-arts-inc-historical-data" TargetMode="External"/><Relationship Id="rId631" Type="http://schemas.openxmlformats.org/officeDocument/2006/relationships/hyperlink" Target="https://www.moex.com/ru/marketdata/" TargetMode="External"/><Relationship Id="rId729" Type="http://schemas.openxmlformats.org/officeDocument/2006/relationships/hyperlink" Target="https://www.moex.com/ru/marketdata/" TargetMode="External"/><Relationship Id="rId1054" Type="http://schemas.openxmlformats.org/officeDocument/2006/relationships/hyperlink" Target="https://ru.investing.com/equities/forum-merger-ii-historical-data" TargetMode="External"/><Relationship Id="rId1261" Type="http://schemas.openxmlformats.org/officeDocument/2006/relationships/hyperlink" Target="https://www.moex.com/ru/marketdata/" TargetMode="External"/><Relationship Id="rId1359" Type="http://schemas.openxmlformats.org/officeDocument/2006/relationships/hyperlink" Target="https://www.moex.com/ru/marketdata/" TargetMode="External"/><Relationship Id="rId936" Type="http://schemas.openxmlformats.org/officeDocument/2006/relationships/hyperlink" Target="https://ru.investing.com/equities/raymond-james-financial-inc-historical-data" TargetMode="External"/><Relationship Id="rId1121" Type="http://schemas.openxmlformats.org/officeDocument/2006/relationships/hyperlink" Target="https://www.moex.com/ru/marketdata/" TargetMode="External"/><Relationship Id="rId1219" Type="http://schemas.openxmlformats.org/officeDocument/2006/relationships/hyperlink" Target="https://www.moex.com/ru/marketdata/" TargetMode="External"/><Relationship Id="rId65" Type="http://schemas.openxmlformats.org/officeDocument/2006/relationships/hyperlink" Target="https://ru.investing.com/equities/amazon-com-inc-historical-data" TargetMode="External"/><Relationship Id="rId281" Type="http://schemas.openxmlformats.org/officeDocument/2006/relationships/hyperlink" Target="https://ru.investing.com/equities/social-capital-hedosophia-hold-iii-historical-data" TargetMode="External"/><Relationship Id="rId141" Type="http://schemas.openxmlformats.org/officeDocument/2006/relationships/hyperlink" Target="https://ru.investing.com/equities/limited-brands-historical-data" TargetMode="External"/><Relationship Id="rId379" Type="http://schemas.openxmlformats.org/officeDocument/2006/relationships/hyperlink" Target="https://www.moex.com/ru/marketdata/" TargetMode="External"/><Relationship Id="rId586" Type="http://schemas.openxmlformats.org/officeDocument/2006/relationships/hyperlink" Target="https://ru.investing.com/equities/idex-historical-data" TargetMode="External"/><Relationship Id="rId793" Type="http://schemas.openxmlformats.org/officeDocument/2006/relationships/hyperlink" Target="https://www.moex.com/ru/marketdata/" TargetMode="External"/><Relationship Id="rId7" Type="http://schemas.openxmlformats.org/officeDocument/2006/relationships/hyperlink" Target="https://ru.investing.com/equities/3m-co-historical-data" TargetMode="External"/><Relationship Id="rId239" Type="http://schemas.openxmlformats.org/officeDocument/2006/relationships/hyperlink" Target="https://ru.investing.com/equities/change-healthcare-inc-historical-data" TargetMode="External"/><Relationship Id="rId446" Type="http://schemas.openxmlformats.org/officeDocument/2006/relationships/hyperlink" Target="https://ru.investing.com/equities/etsy-inc-historical-data" TargetMode="External"/><Relationship Id="rId653" Type="http://schemas.openxmlformats.org/officeDocument/2006/relationships/hyperlink" Target="https://www.moex.com/ru/marketdata/" TargetMode="External"/><Relationship Id="rId1076" Type="http://schemas.openxmlformats.org/officeDocument/2006/relationships/hyperlink" Target="https://ru.investing.com/equities/textron-inc-historical-data" TargetMode="External"/><Relationship Id="rId1283" Type="http://schemas.openxmlformats.org/officeDocument/2006/relationships/hyperlink" Target="https://www.moex.com/ru/marketdata/" TargetMode="External"/><Relationship Id="rId306" Type="http://schemas.openxmlformats.org/officeDocument/2006/relationships/hyperlink" Target="https://www.moex.com/ru/marketdata/" TargetMode="External"/><Relationship Id="rId860" Type="http://schemas.openxmlformats.org/officeDocument/2006/relationships/hyperlink" Target="https://ru.investing.com/equities/paycom-soft-historical-data" TargetMode="External"/><Relationship Id="rId958" Type="http://schemas.openxmlformats.org/officeDocument/2006/relationships/hyperlink" Target="https://ru.investing.com/equities/rollins-inc-historical-data" TargetMode="External"/><Relationship Id="rId1143" Type="http://schemas.openxmlformats.org/officeDocument/2006/relationships/hyperlink" Target="https://www.moex.com/ru/marketdata/" TargetMode="External"/><Relationship Id="rId87" Type="http://schemas.openxmlformats.org/officeDocument/2006/relationships/hyperlink" Target="https://ru.investing.com/equities/amicus-therapeutics-historical-data" TargetMode="External"/><Relationship Id="rId513" Type="http://schemas.openxmlformats.org/officeDocument/2006/relationships/hyperlink" Target="https://www.moex.com/ru/marketdata/" TargetMode="External"/><Relationship Id="rId720" Type="http://schemas.openxmlformats.org/officeDocument/2006/relationships/hyperlink" Target="https://ru.investing.com/equities/marsh---mclennan-historical-data" TargetMode="External"/><Relationship Id="rId818" Type="http://schemas.openxmlformats.org/officeDocument/2006/relationships/hyperlink" Target="https://ru.investing.com/equities/nvr-inc-historical-data" TargetMode="External"/><Relationship Id="rId1350" Type="http://schemas.openxmlformats.org/officeDocument/2006/relationships/hyperlink" Target="https://www.moex.com/ru/marketdata/" TargetMode="External"/><Relationship Id="rId1003" Type="http://schemas.openxmlformats.org/officeDocument/2006/relationships/hyperlink" Target="https://www.moex.com/ru/marketdata/" TargetMode="External"/><Relationship Id="rId1210" Type="http://schemas.openxmlformats.org/officeDocument/2006/relationships/hyperlink" Target="https://ru.investing.com/equities/vuzix-corp-cmn-stk-historical-data" TargetMode="External"/><Relationship Id="rId1308" Type="http://schemas.openxmlformats.org/officeDocument/2006/relationships/hyperlink" Target="https://ru.investing.com/equities/petrochina-co-ads-exch-historical-data" TargetMode="External"/><Relationship Id="rId14" Type="http://schemas.openxmlformats.org/officeDocument/2006/relationships/hyperlink" Target="https://www.moex.com/ru/marketdata/" TargetMode="External"/><Relationship Id="rId163" Type="http://schemas.openxmlformats.org/officeDocument/2006/relationships/hyperlink" Target="https://ru.investing.com/equities/bjs-wholesale-club-holdings-inc-historical-data" TargetMode="External"/><Relationship Id="rId370" Type="http://schemas.openxmlformats.org/officeDocument/2006/relationships/hyperlink" Target="https://ru.investing.com/equities/dicks-sporting-goods-inc-historical-data" TargetMode="External"/><Relationship Id="rId230" Type="http://schemas.openxmlformats.org/officeDocument/2006/relationships/hyperlink" Target="https://www.moex.com/ru/marketdata/" TargetMode="External"/><Relationship Id="rId468" Type="http://schemas.openxmlformats.org/officeDocument/2006/relationships/hyperlink" Target="https://ru.investing.com/equities/fastly-inc-historical-data" TargetMode="External"/><Relationship Id="rId675" Type="http://schemas.openxmlformats.org/officeDocument/2006/relationships/hyperlink" Target="https://www.moex.com/ru/marketdata/" TargetMode="External"/><Relationship Id="rId882" Type="http://schemas.openxmlformats.org/officeDocument/2006/relationships/hyperlink" Target="https://ru.investing.com/equities/phillips-66-ltd-historical-data" TargetMode="External"/><Relationship Id="rId1098" Type="http://schemas.openxmlformats.org/officeDocument/2006/relationships/hyperlink" Target="https://ru.investing.com/equities/mosaic-company-historical-data" TargetMode="External"/><Relationship Id="rId328" Type="http://schemas.openxmlformats.org/officeDocument/2006/relationships/hyperlink" Target="https://ru.investing.com/equities/coupang-llc-historical-data" TargetMode="External"/><Relationship Id="rId535" Type="http://schemas.openxmlformats.org/officeDocument/2006/relationships/hyperlink" Target="https://www.moex.com/ru/marketdata/" TargetMode="External"/><Relationship Id="rId742" Type="http://schemas.openxmlformats.org/officeDocument/2006/relationships/hyperlink" Target="https://ru.investing.com/equities/mettler-toledo-international-inc-historical-data" TargetMode="External"/><Relationship Id="rId1165" Type="http://schemas.openxmlformats.org/officeDocument/2006/relationships/hyperlink" Target="https://www.moex.com/ru/marketdata/" TargetMode="External"/><Relationship Id="rId1372" Type="http://schemas.openxmlformats.org/officeDocument/2006/relationships/hyperlink" Target="https://www.moex.com/ru/marketdata/" TargetMode="External"/><Relationship Id="rId602" Type="http://schemas.openxmlformats.org/officeDocument/2006/relationships/hyperlink" Target="https://ru.investing.com/equities/intellia-therapeutics-inc-historical-data" TargetMode="External"/><Relationship Id="rId1025" Type="http://schemas.openxmlformats.org/officeDocument/2006/relationships/hyperlink" Target="https://www.moex.com/ru/marketdata/" TargetMode="External"/><Relationship Id="rId1232" Type="http://schemas.openxmlformats.org/officeDocument/2006/relationships/hyperlink" Target="https://ru.investing.com/equities/west-pharmaceutical-services-inc-historical-data" TargetMode="External"/><Relationship Id="rId907" Type="http://schemas.openxmlformats.org/officeDocument/2006/relationships/hyperlink" Target="https://www.moex.com/ru/marketdata/" TargetMode="External"/><Relationship Id="rId36" Type="http://schemas.openxmlformats.org/officeDocument/2006/relationships/hyperlink" Target="https://www.moex.com/ru/marketdata/" TargetMode="External"/><Relationship Id="rId185" Type="http://schemas.openxmlformats.org/officeDocument/2006/relationships/hyperlink" Target="https://ru.investing.com/equities/bristol-myer-squiib-historical-data" TargetMode="External"/><Relationship Id="rId392" Type="http://schemas.openxmlformats.org/officeDocument/2006/relationships/hyperlink" Target="https://ru.investing.com/equities/dow-chemical-historical-data" TargetMode="External"/><Relationship Id="rId697" Type="http://schemas.openxmlformats.org/officeDocument/2006/relationships/hyperlink" Target="https://www.moex.com/ru/marketdata/" TargetMode="External"/><Relationship Id="rId252" Type="http://schemas.openxmlformats.org/officeDocument/2006/relationships/hyperlink" Target="https://www.moex.com/ru/marketdata/" TargetMode="External"/><Relationship Id="rId1187" Type="http://schemas.openxmlformats.org/officeDocument/2006/relationships/hyperlink" Target="https://www.moex.com/ru/marketdata/" TargetMode="External"/><Relationship Id="rId112" Type="http://schemas.openxmlformats.org/officeDocument/2006/relationships/hyperlink" Target="https://www.moex.com/ru/marketdata/" TargetMode="External"/><Relationship Id="rId557" Type="http://schemas.openxmlformats.org/officeDocument/2006/relationships/hyperlink" Target="https://www.moex.com/ru/marketdata/" TargetMode="External"/><Relationship Id="rId764" Type="http://schemas.openxmlformats.org/officeDocument/2006/relationships/hyperlink" Target="https://ru.investing.com/equities/mondelez-international-inc-historical-data" TargetMode="External"/><Relationship Id="rId971" Type="http://schemas.openxmlformats.org/officeDocument/2006/relationships/hyperlink" Target="https://www.moex.com/ru/marketdata/" TargetMode="External"/><Relationship Id="rId417" Type="http://schemas.openxmlformats.org/officeDocument/2006/relationships/hyperlink" Target="https://www.moex.com/ru/marketdata/" TargetMode="External"/><Relationship Id="rId624" Type="http://schemas.openxmlformats.org/officeDocument/2006/relationships/hyperlink" Target="https://ru.investing.com/equities/quintis-trl-hlgs-historical-data" TargetMode="External"/><Relationship Id="rId831" Type="http://schemas.openxmlformats.org/officeDocument/2006/relationships/hyperlink" Target="https://www.moex.com/ru/marketdata/" TargetMode="External"/><Relationship Id="rId1047" Type="http://schemas.openxmlformats.org/officeDocument/2006/relationships/hyperlink" Target="https://www.moex.com/ru/marketdata/" TargetMode="External"/><Relationship Id="rId1254" Type="http://schemas.openxmlformats.org/officeDocument/2006/relationships/hyperlink" Target="https://ru.investing.com/equities/xcel-energy-historical-data" TargetMode="External"/><Relationship Id="rId929" Type="http://schemas.openxmlformats.org/officeDocument/2006/relationships/hyperlink" Target="https://www.moex.com/ru/marketdata/" TargetMode="External"/><Relationship Id="rId1114" Type="http://schemas.openxmlformats.org/officeDocument/2006/relationships/hyperlink" Target="https://ru.investing.com/equities/western-union-historical-data" TargetMode="External"/><Relationship Id="rId1321" Type="http://schemas.openxmlformats.org/officeDocument/2006/relationships/hyperlink" Target="https://www.moex.com/ru/marketdata/" TargetMode="External"/><Relationship Id="rId58" Type="http://schemas.openxmlformats.org/officeDocument/2006/relationships/hyperlink" Target="https://www.moex.com/ru/marketdata/" TargetMode="External"/><Relationship Id="rId274" Type="http://schemas.openxmlformats.org/officeDocument/2006/relationships/hyperlink" Target="https://www.moex.com/ru/marketdata/" TargetMode="External"/><Relationship Id="rId481" Type="http://schemas.openxmlformats.org/officeDocument/2006/relationships/hyperlink" Target="https://www.moex.com/ru/marketdata/" TargetMode="External"/><Relationship Id="rId134" Type="http://schemas.openxmlformats.org/officeDocument/2006/relationships/hyperlink" Target="https://www.moex.com/ru/marketdata/" TargetMode="External"/><Relationship Id="rId579" Type="http://schemas.openxmlformats.org/officeDocument/2006/relationships/hyperlink" Target="https://www.moex.com/ru/marketdata/" TargetMode="External"/><Relationship Id="rId786" Type="http://schemas.openxmlformats.org/officeDocument/2006/relationships/hyperlink" Target="https://ru.investing.com/equities/network-appliance-inc-historical-data" TargetMode="External"/><Relationship Id="rId993" Type="http://schemas.openxmlformats.org/officeDocument/2006/relationships/hyperlink" Target="https://www.moex.com/ru/marketdata/" TargetMode="External"/><Relationship Id="rId341" Type="http://schemas.openxmlformats.org/officeDocument/2006/relationships/hyperlink" Target="https://www.moex.com/ru/marketdata/" TargetMode="External"/><Relationship Id="rId439" Type="http://schemas.openxmlformats.org/officeDocument/2006/relationships/hyperlink" Target="https://www.moex.com/ru/marketdata/" TargetMode="External"/><Relationship Id="rId646" Type="http://schemas.openxmlformats.org/officeDocument/2006/relationships/hyperlink" Target="https://ru.investing.com/equities/dr-pepper-snapple-historical-data" TargetMode="External"/><Relationship Id="rId1069" Type="http://schemas.openxmlformats.org/officeDocument/2006/relationships/hyperlink" Target="https://www.moex.com/ru/marketdata/" TargetMode="External"/><Relationship Id="rId1276" Type="http://schemas.openxmlformats.org/officeDocument/2006/relationships/hyperlink" Target="https://ru.investing.com/equities/zimmer-hldgs-historical-data" TargetMode="External"/><Relationship Id="rId201" Type="http://schemas.openxmlformats.org/officeDocument/2006/relationships/hyperlink" Target="https://ru.investing.com/equities/campbell-soup-historical-data" TargetMode="External"/><Relationship Id="rId506" Type="http://schemas.openxmlformats.org/officeDocument/2006/relationships/hyperlink" Target="https://ru.investing.com/equities/fox-corp-b-historical-data" TargetMode="External"/><Relationship Id="rId853" Type="http://schemas.openxmlformats.org/officeDocument/2006/relationships/hyperlink" Target="https://www.moex.com/ru/marketdata/" TargetMode="External"/><Relationship Id="rId1136" Type="http://schemas.openxmlformats.org/officeDocument/2006/relationships/hyperlink" Target="https://ru.investing.com/equities/twilio-inc-a-historical-data" TargetMode="External"/><Relationship Id="rId713" Type="http://schemas.openxmlformats.org/officeDocument/2006/relationships/hyperlink" Target="https://www.moex.com/ru/marketdata/" TargetMode="External"/><Relationship Id="rId920" Type="http://schemas.openxmlformats.org/officeDocument/2006/relationships/hyperlink" Target="https://ru.investing.com/equities/qualtrics-international-inc-historical-data" TargetMode="External"/><Relationship Id="rId1343" Type="http://schemas.openxmlformats.org/officeDocument/2006/relationships/hyperlink" Target="https://ru.investing.com/etfs/spdr-energy-select-sector-fund-historical-data" TargetMode="External"/><Relationship Id="rId1203" Type="http://schemas.openxmlformats.org/officeDocument/2006/relationships/hyperlink" Target="https://www.moex.com/ru/marketdata/" TargetMode="External"/><Relationship Id="rId296" Type="http://schemas.openxmlformats.org/officeDocument/2006/relationships/hyperlink" Target="https://www.moex.com/ru/marketdata/" TargetMode="External"/><Relationship Id="rId156" Type="http://schemas.openxmlformats.org/officeDocument/2006/relationships/hyperlink" Target="https://www.moex.com/ru/marketdata/" TargetMode="External"/><Relationship Id="rId363" Type="http://schemas.openxmlformats.org/officeDocument/2006/relationships/hyperlink" Target="https://www.moex.com/ru/marketdata/" TargetMode="External"/><Relationship Id="rId570" Type="http://schemas.openxmlformats.org/officeDocument/2006/relationships/hyperlink" Target="https://ru.investing.com/equities/hormel-foods-corp-historical-data" TargetMode="External"/><Relationship Id="rId223" Type="http://schemas.openxmlformats.org/officeDocument/2006/relationships/hyperlink" Target="https://ru.investing.com/equities/cdw-corp-historical-data" TargetMode="External"/><Relationship Id="rId430" Type="http://schemas.openxmlformats.org/officeDocument/2006/relationships/hyperlink" Target="https://ru.investing.com/equities/emerson-elec-historical-data" TargetMode="External"/><Relationship Id="rId668" Type="http://schemas.openxmlformats.org/officeDocument/2006/relationships/hyperlink" Target="https://ru.investing.com/equities/laboratory-corp-of-amer-historical-data?cid=21709" TargetMode="External"/><Relationship Id="rId875" Type="http://schemas.openxmlformats.org/officeDocument/2006/relationships/hyperlink" Target="https://www.moex.com/ru/marketdata/" TargetMode="External"/><Relationship Id="rId1060" Type="http://schemas.openxmlformats.org/officeDocument/2006/relationships/hyperlink" Target="https://ru.investing.com/equities/teladoc-inc-historical-data" TargetMode="External"/><Relationship Id="rId1298" Type="http://schemas.openxmlformats.org/officeDocument/2006/relationships/hyperlink" Target="https://ru.investing.com/equities/momo-inc-historical-data" TargetMode="External"/><Relationship Id="rId528" Type="http://schemas.openxmlformats.org/officeDocument/2006/relationships/hyperlink" Target="https://ru.investing.com/equities/gentex-corp-historical-data" TargetMode="External"/><Relationship Id="rId735" Type="http://schemas.openxmlformats.org/officeDocument/2006/relationships/hyperlink" Target="https://www.moex.com/ru/marketdata/" TargetMode="External"/><Relationship Id="rId942" Type="http://schemas.openxmlformats.org/officeDocument/2006/relationships/hyperlink" Target="https://ru.investing.com/equities/renewable-energy-group-inc-historical-data" TargetMode="External"/><Relationship Id="rId1158" Type="http://schemas.openxmlformats.org/officeDocument/2006/relationships/hyperlink" Target="https://ru.investing.com/equities/united-parcel-historical-data" TargetMode="External"/><Relationship Id="rId1365" Type="http://schemas.openxmlformats.org/officeDocument/2006/relationships/hyperlink" Target="https://www.moex.com/ru/marketdata/" TargetMode="External"/><Relationship Id="rId1018" Type="http://schemas.openxmlformats.org/officeDocument/2006/relationships/hyperlink" Target="https://ru.investing.com/equities/sprts-frmr-historical-data" TargetMode="External"/><Relationship Id="rId1225" Type="http://schemas.openxmlformats.org/officeDocument/2006/relationships/hyperlink" Target="https://www.moex.com/ru/marketdata/" TargetMode="External"/><Relationship Id="rId71" Type="http://schemas.openxmlformats.org/officeDocument/2006/relationships/hyperlink" Target="https://ru.investing.com/equities/american-airlines-group-historical-data" TargetMode="External"/><Relationship Id="rId802" Type="http://schemas.openxmlformats.org/officeDocument/2006/relationships/hyperlink" Target="https://ru.investing.com/equities/nordstrom-inc-historical-data" TargetMode="External"/><Relationship Id="rId29" Type="http://schemas.openxmlformats.org/officeDocument/2006/relationships/hyperlink" Target="https://ru.investing.com/equities/advance-auto-parts-historical-data" TargetMode="External"/><Relationship Id="rId178" Type="http://schemas.openxmlformats.org/officeDocument/2006/relationships/hyperlink" Target="https://www.moex.com/ru/marketdata/" TargetMode="External"/><Relationship Id="rId385" Type="http://schemas.openxmlformats.org/officeDocument/2006/relationships/hyperlink" Target="https://www.moex.com/ru/marketdata/" TargetMode="External"/><Relationship Id="rId592" Type="http://schemas.openxmlformats.org/officeDocument/2006/relationships/hyperlink" Target="https://ru.investing.com/equities/illumina,-inc.-historical-data" TargetMode="External"/><Relationship Id="rId245" Type="http://schemas.openxmlformats.org/officeDocument/2006/relationships/hyperlink" Target="https://ru.investing.com/equities/chegg-inc-historical-data" TargetMode="External"/><Relationship Id="rId452" Type="http://schemas.openxmlformats.org/officeDocument/2006/relationships/hyperlink" Target="https://ru.investing.com/equities/exact-sciences-co-historical-data" TargetMode="External"/><Relationship Id="rId897" Type="http://schemas.openxmlformats.org/officeDocument/2006/relationships/hyperlink" Target="https://www.moex.com/ru/marketdata/" TargetMode="External"/><Relationship Id="rId1082" Type="http://schemas.openxmlformats.org/officeDocument/2006/relationships/hyperlink" Target="https://ru.investing.com/equities/charles-schwab-historical-data" TargetMode="External"/><Relationship Id="rId105" Type="http://schemas.openxmlformats.org/officeDocument/2006/relationships/hyperlink" Target="https://ru.investing.com/equities/applovin-historical-data" TargetMode="External"/><Relationship Id="rId312" Type="http://schemas.openxmlformats.org/officeDocument/2006/relationships/hyperlink" Target="https://ru.investing.com/equities/copart-inc-historical-data" TargetMode="External"/><Relationship Id="rId757" Type="http://schemas.openxmlformats.org/officeDocument/2006/relationships/hyperlink" Target="https://www.moex.com/ru/marketdata/" TargetMode="External"/><Relationship Id="rId964" Type="http://schemas.openxmlformats.org/officeDocument/2006/relationships/hyperlink" Target="https://ru.investing.com/equities/united-tech-historical-data" TargetMode="External"/><Relationship Id="rId93" Type="http://schemas.openxmlformats.org/officeDocument/2006/relationships/hyperlink" Target="https://ru.investing.com/equities/anaplan-historical-data" TargetMode="External"/><Relationship Id="rId617" Type="http://schemas.openxmlformats.org/officeDocument/2006/relationships/hyperlink" Target="https://www.moex.com/ru/marketdata/" TargetMode="External"/><Relationship Id="rId824" Type="http://schemas.openxmlformats.org/officeDocument/2006/relationships/hyperlink" Target="https://ru.investing.com/equities/owens-illinois-inc-historical-data" TargetMode="External"/><Relationship Id="rId1247" Type="http://schemas.openxmlformats.org/officeDocument/2006/relationships/hyperlink" Target="https://www.moex.com/ru/marketdata/" TargetMode="External"/><Relationship Id="rId1107" Type="http://schemas.openxmlformats.org/officeDocument/2006/relationships/hyperlink" Target="https://www.moex.com/ru/marketdata/" TargetMode="External"/><Relationship Id="rId1314" Type="http://schemas.openxmlformats.org/officeDocument/2006/relationships/hyperlink" Target="https://ru.investing.com/equities/taiwan-semicond.manufacturing-co-historical-data" TargetMode="External"/><Relationship Id="rId20" Type="http://schemas.openxmlformats.org/officeDocument/2006/relationships/hyperlink" Target="https://www.moex.com/ru/marketdata/" TargetMode="External"/><Relationship Id="rId267" Type="http://schemas.openxmlformats.org/officeDocument/2006/relationships/hyperlink" Target="https://ru.investing.com/equities/citigroup-historical-data" TargetMode="External"/><Relationship Id="rId474" Type="http://schemas.openxmlformats.org/officeDocument/2006/relationships/hyperlink" Target="https://ru.investing.com/equities/fidelity-national-financial-historical-data" TargetMode="External"/><Relationship Id="rId127" Type="http://schemas.openxmlformats.org/officeDocument/2006/relationships/hyperlink" Target="https://ru.investing.com/equities/autozone-inc-historical-data" TargetMode="External"/><Relationship Id="rId681" Type="http://schemas.openxmlformats.org/officeDocument/2006/relationships/hyperlink" Target="https://www.moex.com/ru/marketdata/" TargetMode="External"/><Relationship Id="rId779" Type="http://schemas.openxmlformats.org/officeDocument/2006/relationships/hyperlink" Target="https://www.moex.com/ru/marketdata/" TargetMode="External"/><Relationship Id="rId986" Type="http://schemas.openxmlformats.org/officeDocument/2006/relationships/hyperlink" Target="https://ru.investing.com/equities/skechers-usa-inc-historical-data" TargetMode="External"/><Relationship Id="rId334" Type="http://schemas.openxmlformats.org/officeDocument/2006/relationships/hyperlink" Target="https://ru.investing.com/equities/crowdstrike-holdings-inc-historical-data" TargetMode="External"/><Relationship Id="rId541" Type="http://schemas.openxmlformats.org/officeDocument/2006/relationships/hyperlink" Target="https://www.moex.com/ru/marketdata/" TargetMode="External"/><Relationship Id="rId639" Type="http://schemas.openxmlformats.org/officeDocument/2006/relationships/hyperlink" Target="https://www.moex.com/ru/marketdata/" TargetMode="External"/><Relationship Id="rId1171" Type="http://schemas.openxmlformats.org/officeDocument/2006/relationships/hyperlink" Target="https://www.moex.com/ru/marketdata/" TargetMode="External"/><Relationship Id="rId1269" Type="http://schemas.openxmlformats.org/officeDocument/2006/relationships/hyperlink" Target="https://www.moex.com/ru/marketdata/" TargetMode="External"/><Relationship Id="rId401" Type="http://schemas.openxmlformats.org/officeDocument/2006/relationships/hyperlink" Target="https://www.moex.com/ru/marketdata/" TargetMode="External"/><Relationship Id="rId846" Type="http://schemas.openxmlformats.org/officeDocument/2006/relationships/hyperlink" Target="https://ru.investing.com/equities/encana-corporation-historical-data" TargetMode="External"/><Relationship Id="rId1031" Type="http://schemas.openxmlformats.org/officeDocument/2006/relationships/hyperlink" Target="https://www.moex.com/ru/marketdata/" TargetMode="External"/><Relationship Id="rId1129" Type="http://schemas.openxmlformats.org/officeDocument/2006/relationships/hyperlink" Target="https://www.moex.com/ru/marketdata/" TargetMode="External"/><Relationship Id="rId706" Type="http://schemas.openxmlformats.org/officeDocument/2006/relationships/hyperlink" Target="https://ru.investing.com/equities/m-t-bank-corp-historical-data" TargetMode="External"/><Relationship Id="rId913" Type="http://schemas.openxmlformats.org/officeDocument/2006/relationships/hyperlink" Target="https://www.moex.com/ru/marketdata/" TargetMode="External"/><Relationship Id="rId1336" Type="http://schemas.openxmlformats.org/officeDocument/2006/relationships/hyperlink" Target="https://ru.investing.com/etfs/ishares-msci-china-historical-data" TargetMode="External"/><Relationship Id="rId42" Type="http://schemas.openxmlformats.org/officeDocument/2006/relationships/hyperlink" Target="https://www.moex.com/ru/marketdata/" TargetMode="External"/><Relationship Id="rId191" Type="http://schemas.openxmlformats.org/officeDocument/2006/relationships/hyperlink" Target="https://ru.investing.com/equities/brown-forman-b-historical-data" TargetMode="External"/><Relationship Id="rId289" Type="http://schemas.openxmlformats.org/officeDocument/2006/relationships/hyperlink" Target="https://ru.investing.com/equities/coca-cola-co-historical-data" TargetMode="External"/><Relationship Id="rId496" Type="http://schemas.openxmlformats.org/officeDocument/2006/relationships/hyperlink" Target="https://ru.investing.com/equities/foot-locker-historical-data" TargetMode="External"/><Relationship Id="rId149" Type="http://schemas.openxmlformats.org/officeDocument/2006/relationships/hyperlink" Target="https://ru.investing.com/equities/berkshire-hathaway-historical-data" TargetMode="External"/><Relationship Id="rId356" Type="http://schemas.openxmlformats.org/officeDocument/2006/relationships/hyperlink" Target="https://ru.investing.com/equities/deere---co-historical-data" TargetMode="External"/><Relationship Id="rId563" Type="http://schemas.openxmlformats.org/officeDocument/2006/relationships/hyperlink" Target="https://www.moex.com/ru/marketdata/" TargetMode="External"/><Relationship Id="rId770" Type="http://schemas.openxmlformats.org/officeDocument/2006/relationships/hyperlink" Target="https://ru.investing.com/equities/moodys-corp-historical-data" TargetMode="External"/><Relationship Id="rId1193" Type="http://schemas.openxmlformats.org/officeDocument/2006/relationships/hyperlink" Target="https://www.moex.com/ru/marketdata/" TargetMode="External"/><Relationship Id="rId216" Type="http://schemas.openxmlformats.org/officeDocument/2006/relationships/hyperlink" Target="https://www.moex.com/ru/marketdata/" TargetMode="External"/><Relationship Id="rId423" Type="http://schemas.openxmlformats.org/officeDocument/2006/relationships/hyperlink" Target="https://www.moex.com/ru/marketdata/" TargetMode="External"/><Relationship Id="rId868" Type="http://schemas.openxmlformats.org/officeDocument/2006/relationships/hyperlink" Target="https://ru.investing.com/equities/penn-national-gaming-inc-historical-data" TargetMode="External"/><Relationship Id="rId1053" Type="http://schemas.openxmlformats.org/officeDocument/2006/relationships/hyperlink" Target="https://www.moex.com/ru/marketdata/" TargetMode="External"/><Relationship Id="rId1260" Type="http://schemas.openxmlformats.org/officeDocument/2006/relationships/hyperlink" Target="https://ru.investing.com/equities/xpo-logistics-historical-data" TargetMode="External"/><Relationship Id="rId630" Type="http://schemas.openxmlformats.org/officeDocument/2006/relationships/hyperlink" Target="https://ru.investing.com/equities/jack-henry---asso-historical-data" TargetMode="External"/><Relationship Id="rId728" Type="http://schemas.openxmlformats.org/officeDocument/2006/relationships/hyperlink" Target="https://ru.investing.com/equities/match-group-inc-historical-data" TargetMode="External"/><Relationship Id="rId935" Type="http://schemas.openxmlformats.org/officeDocument/2006/relationships/hyperlink" Target="https://www.moex.com/ru/marketdata/" TargetMode="External"/><Relationship Id="rId1358" Type="http://schemas.openxmlformats.org/officeDocument/2006/relationships/hyperlink" Target="https://www.moex.com/ru/marketdata/" TargetMode="External"/><Relationship Id="rId64" Type="http://schemas.openxmlformats.org/officeDocument/2006/relationships/hyperlink" Target="https://www.moex.com/ru/marketdata/" TargetMode="External"/><Relationship Id="rId1120" Type="http://schemas.openxmlformats.org/officeDocument/2006/relationships/hyperlink" Target="https://ru.investing.com/equities/tractor-supply-company-historical-data" TargetMode="External"/><Relationship Id="rId1218" Type="http://schemas.openxmlformats.org/officeDocument/2006/relationships/hyperlink" Target="https://ru.investing.com/equities/wal-mart-stores-historical-data" TargetMode="External"/><Relationship Id="rId280" Type="http://schemas.openxmlformats.org/officeDocument/2006/relationships/hyperlink" Target="https://www.moex.com/ru/marketdata/" TargetMode="External"/><Relationship Id="rId140" Type="http://schemas.openxmlformats.org/officeDocument/2006/relationships/hyperlink" Target="https://www.moex.com/ru/marketdata/" TargetMode="External"/><Relationship Id="rId378" Type="http://schemas.openxmlformats.org/officeDocument/2006/relationships/hyperlink" Target="https://ru.investing.com/equities/docusign-inc-historical-data" TargetMode="External"/><Relationship Id="rId585" Type="http://schemas.openxmlformats.org/officeDocument/2006/relationships/hyperlink" Target="https://www.moex.com/ru/marketdata/" TargetMode="External"/><Relationship Id="rId792" Type="http://schemas.openxmlformats.org/officeDocument/2006/relationships/hyperlink" Target="https://ru.investing.com/equities/newmont-mining-historical-data" TargetMode="External"/><Relationship Id="rId6" Type="http://schemas.openxmlformats.org/officeDocument/2006/relationships/hyperlink" Target="https://www.moex.com/ru/marketdata/" TargetMode="External"/><Relationship Id="rId238" Type="http://schemas.openxmlformats.org/officeDocument/2006/relationships/hyperlink" Target="https://www.moex.com/ru/marketdata/" TargetMode="External"/><Relationship Id="rId445" Type="http://schemas.openxmlformats.org/officeDocument/2006/relationships/hyperlink" Target="https://www.moex.com/ru/marketdata/" TargetMode="External"/><Relationship Id="rId652" Type="http://schemas.openxmlformats.org/officeDocument/2006/relationships/hyperlink" Target="https://ru.investing.com/equities/kimberly-clark-historical-data" TargetMode="External"/><Relationship Id="rId1075" Type="http://schemas.openxmlformats.org/officeDocument/2006/relationships/hyperlink" Target="https://www.moex.com/ru/marketdata/" TargetMode="External"/><Relationship Id="rId1282" Type="http://schemas.openxmlformats.org/officeDocument/2006/relationships/hyperlink" Target="https://ru.investing.com/equities/zoetis-inc-historical-data" TargetMode="External"/><Relationship Id="rId305" Type="http://schemas.openxmlformats.org/officeDocument/2006/relationships/hyperlink" Target="https://ru.investing.com/equities/cocnsol-edison-historical-data" TargetMode="External"/><Relationship Id="rId512" Type="http://schemas.openxmlformats.org/officeDocument/2006/relationships/hyperlink" Target="https://ru.investing.com/equities/freeport-mcm-historical-data" TargetMode="External"/><Relationship Id="rId957" Type="http://schemas.openxmlformats.org/officeDocument/2006/relationships/hyperlink" Target="https://www.moex.com/ru/marketdata/" TargetMode="External"/><Relationship Id="rId1142" Type="http://schemas.openxmlformats.org/officeDocument/2006/relationships/hyperlink" Target="https://ru.investing.com/equities/tyson-foods-historical-data" TargetMode="External"/><Relationship Id="rId86" Type="http://schemas.openxmlformats.org/officeDocument/2006/relationships/hyperlink" Target="https://www.moex.com/ru/marketdata/" TargetMode="External"/><Relationship Id="rId817" Type="http://schemas.openxmlformats.org/officeDocument/2006/relationships/hyperlink" Target="https://www.moex.com/ru/marketdata/" TargetMode="External"/><Relationship Id="rId1002" Type="http://schemas.openxmlformats.org/officeDocument/2006/relationships/hyperlink" Target="https://ru.investing.com/equities/sonos-inc-historical-data" TargetMode="External"/><Relationship Id="rId1307" Type="http://schemas.openxmlformats.org/officeDocument/2006/relationships/hyperlink" Target="https://www.moex.com/ru/marketdata/" TargetMode="External"/><Relationship Id="rId13" Type="http://schemas.openxmlformats.org/officeDocument/2006/relationships/hyperlink" Target="https://ru.investing.com/equities/abbott-laboratories-historical-data" TargetMode="External"/><Relationship Id="rId162" Type="http://schemas.openxmlformats.org/officeDocument/2006/relationships/hyperlink" Target="https://www.moex.com/ru/marketdata/" TargetMode="External"/><Relationship Id="rId467" Type="http://schemas.openxmlformats.org/officeDocument/2006/relationships/hyperlink" Target="https://www.moex.com/ru/marketdata/" TargetMode="External"/><Relationship Id="rId1097" Type="http://schemas.openxmlformats.org/officeDocument/2006/relationships/hyperlink" Target="https://www.moex.com/ru/marketdata/" TargetMode="External"/><Relationship Id="rId674" Type="http://schemas.openxmlformats.org/officeDocument/2006/relationships/hyperlink" Target="https://ru.investing.com/equities/las-vegas-sands-historical-data" TargetMode="External"/><Relationship Id="rId881" Type="http://schemas.openxmlformats.org/officeDocument/2006/relationships/hyperlink" Target="https://www.moex.com/ru/marketdata/" TargetMode="External"/><Relationship Id="rId979" Type="http://schemas.openxmlformats.org/officeDocument/2006/relationships/hyperlink" Target="https://www.moex.com/ru/marketdata/" TargetMode="External"/><Relationship Id="rId327" Type="http://schemas.openxmlformats.org/officeDocument/2006/relationships/hyperlink" Target="https://www.moex.com/ru/marketdata/" TargetMode="External"/><Relationship Id="rId534" Type="http://schemas.openxmlformats.org/officeDocument/2006/relationships/hyperlink" Target="https://ru.investing.com/equities/gilead-sciences-inc-historical-data" TargetMode="External"/><Relationship Id="rId741" Type="http://schemas.openxmlformats.org/officeDocument/2006/relationships/hyperlink" Target="https://www.moex.com/ru/marketdata/" TargetMode="External"/><Relationship Id="rId839" Type="http://schemas.openxmlformats.org/officeDocument/2006/relationships/hyperlink" Target="https://www.moex.com/ru/marketdata/" TargetMode="External"/><Relationship Id="rId1164" Type="http://schemas.openxmlformats.org/officeDocument/2006/relationships/hyperlink" Target="https://ru.investing.com/equities/unity-software-inc-historical-data" TargetMode="External"/><Relationship Id="rId1371" Type="http://schemas.openxmlformats.org/officeDocument/2006/relationships/hyperlink" Target="https://www.moex.com/ru/marketdata/" TargetMode="External"/><Relationship Id="rId601" Type="http://schemas.openxmlformats.org/officeDocument/2006/relationships/hyperlink" Target="https://www.moex.com/ru/marketdata/" TargetMode="External"/><Relationship Id="rId1024" Type="http://schemas.openxmlformats.org/officeDocument/2006/relationships/hyperlink" Target="https://ru.investing.com/equities/starbucks-corp-historical-data" TargetMode="External"/><Relationship Id="rId1231" Type="http://schemas.openxmlformats.org/officeDocument/2006/relationships/hyperlink" Target="https://www.moex.com/ru/marketdata/" TargetMode="External"/><Relationship Id="rId906" Type="http://schemas.openxmlformats.org/officeDocument/2006/relationships/hyperlink" Target="https://ru.investing.com/equities/ptc-historical-data" TargetMode="External"/><Relationship Id="rId1329" Type="http://schemas.openxmlformats.org/officeDocument/2006/relationships/hyperlink" Target="https://ru.investing.com/equities/varonis-systems-historical-data" TargetMode="External"/><Relationship Id="rId35" Type="http://schemas.openxmlformats.org/officeDocument/2006/relationships/hyperlink" Target="https://ru.investing.com/equities/agilent-tech-historical-data" TargetMode="External"/><Relationship Id="rId184" Type="http://schemas.openxmlformats.org/officeDocument/2006/relationships/hyperlink" Target="https://www.moex.com/ru/marketdata/" TargetMode="External"/><Relationship Id="rId391" Type="http://schemas.openxmlformats.org/officeDocument/2006/relationships/hyperlink" Target="https://www.moex.com/ru/marketdata/" TargetMode="External"/><Relationship Id="rId405" Type="http://schemas.openxmlformats.org/officeDocument/2006/relationships/hyperlink" Target="https://www.moex.com/ru/marketdata/" TargetMode="External"/><Relationship Id="rId612" Type="http://schemas.openxmlformats.org/officeDocument/2006/relationships/hyperlink" Target="https://ru.investing.com/equities/intuit-historical-data" TargetMode="External"/><Relationship Id="rId1035" Type="http://schemas.openxmlformats.org/officeDocument/2006/relationships/hyperlink" Target="https://www.moex.com/ru/marketdata/" TargetMode="External"/><Relationship Id="rId1242" Type="http://schemas.openxmlformats.org/officeDocument/2006/relationships/hyperlink" Target="https://ru.investing.com/equities/williams-sonoma-inc-historical-data" TargetMode="External"/><Relationship Id="rId251" Type="http://schemas.openxmlformats.org/officeDocument/2006/relationships/hyperlink" Target="https://ru.investing.com/equities/chevron-historical-data" TargetMode="External"/><Relationship Id="rId489" Type="http://schemas.openxmlformats.org/officeDocument/2006/relationships/hyperlink" Target="https://www.moex.com/ru/marketdata/" TargetMode="External"/><Relationship Id="rId696" Type="http://schemas.openxmlformats.org/officeDocument/2006/relationships/hyperlink" Target="https://ru.investing.com/equities/lowes-companies-historical-data" TargetMode="External"/><Relationship Id="rId917" Type="http://schemas.openxmlformats.org/officeDocument/2006/relationships/hyperlink" Target="https://www.moex.com/ru/marketdata/" TargetMode="External"/><Relationship Id="rId1102" Type="http://schemas.openxmlformats.org/officeDocument/2006/relationships/hyperlink" Target="https://ru.investing.com/equities/procter-gamble-historical-data" TargetMode="External"/><Relationship Id="rId46" Type="http://schemas.openxmlformats.org/officeDocument/2006/relationships/hyperlink" Target="https://www.moex.com/ru/marketdata/" TargetMode="External"/><Relationship Id="rId349" Type="http://schemas.openxmlformats.org/officeDocument/2006/relationships/hyperlink" Target="https://www.moex.com/ru/marketdata/" TargetMode="External"/><Relationship Id="rId556" Type="http://schemas.openxmlformats.org/officeDocument/2006/relationships/hyperlink" Target="https://ru.investing.com/equities/henry-schein-historical-data" TargetMode="External"/><Relationship Id="rId763" Type="http://schemas.openxmlformats.org/officeDocument/2006/relationships/hyperlink" Target="https://www.moex.com/ru/marketdata/" TargetMode="External"/><Relationship Id="rId1186" Type="http://schemas.openxmlformats.org/officeDocument/2006/relationships/hyperlink" Target="https://ru.investing.com/equities/verisk-analytics-inc-historical-data" TargetMode="External"/><Relationship Id="rId111" Type="http://schemas.openxmlformats.org/officeDocument/2006/relationships/hyperlink" Target="https://ru.investing.com/equities/ares-capital-historical-data" TargetMode="External"/><Relationship Id="rId195" Type="http://schemas.openxmlformats.org/officeDocument/2006/relationships/hyperlink" Target="https://ru.investing.com/equities/c-h-robinson-worldwide-inc-historical-data" TargetMode="External"/><Relationship Id="rId209" Type="http://schemas.openxmlformats.org/officeDocument/2006/relationships/hyperlink" Target="https://ru.investing.com/equities/cargurus-historical-data" TargetMode="External"/><Relationship Id="rId416" Type="http://schemas.openxmlformats.org/officeDocument/2006/relationships/hyperlink" Target="https://ru.investing.com/equities/editas-medicine-historical-data" TargetMode="External"/><Relationship Id="rId970" Type="http://schemas.openxmlformats.org/officeDocument/2006/relationships/hyperlink" Target="https://ru.investing.com/equities/sarepta-historical-data" TargetMode="External"/><Relationship Id="rId1046" Type="http://schemas.openxmlformats.org/officeDocument/2006/relationships/hyperlink" Target="https://ru.investing.com/equities/t-rowe-price-gp-historical-data" TargetMode="External"/><Relationship Id="rId1253" Type="http://schemas.openxmlformats.org/officeDocument/2006/relationships/hyperlink" Target="https://www.moex.com/ru/marketdata/" TargetMode="External"/><Relationship Id="rId623" Type="http://schemas.openxmlformats.org/officeDocument/2006/relationships/hyperlink" Target="https://www.moex.com/ru/marketdata/" TargetMode="External"/><Relationship Id="rId830" Type="http://schemas.openxmlformats.org/officeDocument/2006/relationships/hyperlink" Target="https://ru.investing.com/equities/omnicom-gp-inc-historical-data" TargetMode="External"/><Relationship Id="rId928" Type="http://schemas.openxmlformats.org/officeDocument/2006/relationships/hyperlink" Target="https://ru.investing.com/equities/quidel-corp-historical-data?cid=972644" TargetMode="External"/><Relationship Id="rId57" Type="http://schemas.openxmlformats.org/officeDocument/2006/relationships/hyperlink" Target="https://ru.investing.com/equities/google-inc-c-historical-data" TargetMode="External"/><Relationship Id="rId262" Type="http://schemas.openxmlformats.org/officeDocument/2006/relationships/hyperlink" Target="https://www.moex.com/ru/marketdata/" TargetMode="External"/><Relationship Id="rId567" Type="http://schemas.openxmlformats.org/officeDocument/2006/relationships/hyperlink" Target="https://www.moex.com/ru/marketdata/" TargetMode="External"/><Relationship Id="rId1113" Type="http://schemas.openxmlformats.org/officeDocument/2006/relationships/hyperlink" Target="https://www.moex.com/ru/marketdata/" TargetMode="External"/><Relationship Id="rId1197" Type="http://schemas.openxmlformats.org/officeDocument/2006/relationships/hyperlink" Target="https://www.moex.com/ru/marketdata/" TargetMode="External"/><Relationship Id="rId1320" Type="http://schemas.openxmlformats.org/officeDocument/2006/relationships/hyperlink" Target="https://ru.investing.com/equities/vipshop-holdings-historical-data" TargetMode="External"/><Relationship Id="rId122" Type="http://schemas.openxmlformats.org/officeDocument/2006/relationships/hyperlink" Target="https://www.moex.com/ru/marketdata/" TargetMode="External"/><Relationship Id="rId774" Type="http://schemas.openxmlformats.org/officeDocument/2006/relationships/hyperlink" Target="https://ru.investing.com/equities/motorola-inc-historical-data" TargetMode="External"/><Relationship Id="rId981" Type="http://schemas.openxmlformats.org/officeDocument/2006/relationships/hyperlink" Target="https://www.moex.com/ru/marketdata/" TargetMode="External"/><Relationship Id="rId1057" Type="http://schemas.openxmlformats.org/officeDocument/2006/relationships/hyperlink" Target="https://www.moex.com/ru/marketdata/" TargetMode="External"/><Relationship Id="rId427" Type="http://schemas.openxmlformats.org/officeDocument/2006/relationships/hyperlink" Target="https://www.moex.com/ru/marketdata/" TargetMode="External"/><Relationship Id="rId634" Type="http://schemas.openxmlformats.org/officeDocument/2006/relationships/hyperlink" Target="https://ru.investing.com/equities/leucadia-natl-historical-data" TargetMode="External"/><Relationship Id="rId841" Type="http://schemas.openxmlformats.org/officeDocument/2006/relationships/hyperlink" Target="https://www.moex.com/ru/marketdata/" TargetMode="External"/><Relationship Id="rId1264" Type="http://schemas.openxmlformats.org/officeDocument/2006/relationships/hyperlink" Target="https://ru.investing.com/equities/yeti-holdings-historical-data" TargetMode="External"/><Relationship Id="rId273" Type="http://schemas.openxmlformats.org/officeDocument/2006/relationships/hyperlink" Target="https://ru.investing.com/equities/cleanspark-historical-data" TargetMode="External"/><Relationship Id="rId480" Type="http://schemas.openxmlformats.org/officeDocument/2006/relationships/hyperlink" Target="https://ru.investing.com/equities/first-solar-inc-historical-data" TargetMode="External"/><Relationship Id="rId701" Type="http://schemas.openxmlformats.org/officeDocument/2006/relationships/hyperlink" Target="https://www.moex.com/ru/marketdata/" TargetMode="External"/><Relationship Id="rId939" Type="http://schemas.openxmlformats.org/officeDocument/2006/relationships/hyperlink" Target="https://www.moex.com/ru/marketdata/" TargetMode="External"/><Relationship Id="rId1124" Type="http://schemas.openxmlformats.org/officeDocument/2006/relationships/hyperlink" Target="https://ru.investing.com/equities/the-travelers-co-historical-data-splits" TargetMode="External"/><Relationship Id="rId1331" Type="http://schemas.openxmlformats.org/officeDocument/2006/relationships/hyperlink" Target="https://ru.investing.com/etfs/ise-cloud-computing-historical-data" TargetMode="External"/><Relationship Id="rId68" Type="http://schemas.openxmlformats.org/officeDocument/2006/relationships/hyperlink" Target="https://www.moex.com/ru/marketdata/" TargetMode="External"/><Relationship Id="rId133" Type="http://schemas.openxmlformats.org/officeDocument/2006/relationships/hyperlink" Target="https://ru.investing.com/equities/b-g-foods-holdings-corp-historical-data" TargetMode="External"/><Relationship Id="rId340" Type="http://schemas.openxmlformats.org/officeDocument/2006/relationships/hyperlink" Target="https://ru.investing.com/equities/cvs-corp-historical-data" TargetMode="External"/><Relationship Id="rId578" Type="http://schemas.openxmlformats.org/officeDocument/2006/relationships/hyperlink" Target="https://ru.investing.com/equities/humana-inc-historical-data" TargetMode="External"/><Relationship Id="rId785" Type="http://schemas.openxmlformats.org/officeDocument/2006/relationships/hyperlink" Target="https://www.moex.com/ru/marketdata/" TargetMode="External"/><Relationship Id="rId992" Type="http://schemas.openxmlformats.org/officeDocument/2006/relationships/hyperlink" Target="https://ru.investing.com/equities/smartsheet-inc-historical-data" TargetMode="External"/><Relationship Id="rId200" Type="http://schemas.openxmlformats.org/officeDocument/2006/relationships/hyperlink" Target="https://www.moex.com/ru/marketdata/" TargetMode="External"/><Relationship Id="rId438" Type="http://schemas.openxmlformats.org/officeDocument/2006/relationships/hyperlink" Target="https://ru.investing.com/equities/eqt-corporation-historical-data" TargetMode="External"/><Relationship Id="rId645" Type="http://schemas.openxmlformats.org/officeDocument/2006/relationships/hyperlink" Target="https://www.moex.com/ru/marketdata/" TargetMode="External"/><Relationship Id="rId852" Type="http://schemas.openxmlformats.org/officeDocument/2006/relationships/hyperlink" Target="https://ru.investing.com/equities/pagerduty-inc-historical-data" TargetMode="External"/><Relationship Id="rId1068" Type="http://schemas.openxmlformats.org/officeDocument/2006/relationships/hyperlink" Target="https://ru.investing.com/equities/teradata-historical-data" TargetMode="External"/><Relationship Id="rId1275" Type="http://schemas.openxmlformats.org/officeDocument/2006/relationships/hyperlink" Target="https://www.moex.com/ru/marketdata/" TargetMode="External"/><Relationship Id="rId284" Type="http://schemas.openxmlformats.org/officeDocument/2006/relationships/hyperlink" Target="https://www.moex.com/ru/marketdata/" TargetMode="External"/><Relationship Id="rId491" Type="http://schemas.openxmlformats.org/officeDocument/2006/relationships/hyperlink" Target="https://www.moex.com/ru/marketdata/" TargetMode="External"/><Relationship Id="rId505" Type="http://schemas.openxmlformats.org/officeDocument/2006/relationships/hyperlink" Target="https://www.moex.com/ru/marketdata/" TargetMode="External"/><Relationship Id="rId712" Type="http://schemas.openxmlformats.org/officeDocument/2006/relationships/hyperlink" Target="https://ru.investing.com/equities/marathon-petroleum-corp.-historical-data" TargetMode="External"/><Relationship Id="rId1135" Type="http://schemas.openxmlformats.org/officeDocument/2006/relationships/hyperlink" Target="https://www.moex.com/ru/marketdata/" TargetMode="External"/><Relationship Id="rId1342" Type="http://schemas.openxmlformats.org/officeDocument/2006/relationships/hyperlink" Target="https://ru.investing.com/etfs/spdr-s-p-500-historical-data" TargetMode="External"/><Relationship Id="rId79" Type="http://schemas.openxmlformats.org/officeDocument/2006/relationships/hyperlink" Target="https://ru.investing.com/equities/american-water-works-inc-historical-data" TargetMode="External"/><Relationship Id="rId144" Type="http://schemas.openxmlformats.org/officeDocument/2006/relationships/hyperlink" Target="https://www.moex.com/ru/marketdata/" TargetMode="External"/><Relationship Id="rId589" Type="http://schemas.openxmlformats.org/officeDocument/2006/relationships/hyperlink" Target="https://www.moex.com/ru/marketdata/" TargetMode="External"/><Relationship Id="rId796" Type="http://schemas.openxmlformats.org/officeDocument/2006/relationships/hyperlink" Target="https://ru.investing.com/equities/nextera-energy-inc-historical-data" TargetMode="External"/><Relationship Id="rId1202" Type="http://schemas.openxmlformats.org/officeDocument/2006/relationships/hyperlink" Target="https://ru.investing.com/equities/visa-inc-historical-data" TargetMode="External"/><Relationship Id="rId351" Type="http://schemas.openxmlformats.org/officeDocument/2006/relationships/hyperlink" Target="https://www.moex.com/ru/marketdata/" TargetMode="External"/><Relationship Id="rId449" Type="http://schemas.openxmlformats.org/officeDocument/2006/relationships/hyperlink" Target="https://www.moex.com/ru/marketdata/" TargetMode="External"/><Relationship Id="rId656" Type="http://schemas.openxmlformats.org/officeDocument/2006/relationships/hyperlink" Target="https://ru.investing.com/equities/kkr---co-lp-historical-data" TargetMode="External"/><Relationship Id="rId863" Type="http://schemas.openxmlformats.org/officeDocument/2006/relationships/hyperlink" Target="https://www.moex.com/ru/marketdata/" TargetMode="External"/><Relationship Id="rId1079" Type="http://schemas.openxmlformats.org/officeDocument/2006/relationships/hyperlink" Target="https://www.moex.com/ru/marketdata/" TargetMode="External"/><Relationship Id="rId1286" Type="http://schemas.openxmlformats.org/officeDocument/2006/relationships/hyperlink" Target="https://ru.investing.com/equities/zoominfo-technologies-inc-historical-data" TargetMode="External"/><Relationship Id="rId211" Type="http://schemas.openxmlformats.org/officeDocument/2006/relationships/hyperlink" Target="https://ru.investing.com/equities/carmax-inc-historical-data" TargetMode="External"/><Relationship Id="rId295" Type="http://schemas.openxmlformats.org/officeDocument/2006/relationships/hyperlink" Target="https://ru.investing.com/equities/colgate-palmo-historical-data" TargetMode="External"/><Relationship Id="rId309" Type="http://schemas.openxmlformats.org/officeDocument/2006/relationships/hyperlink" Target="https://www.moex.com/ru/marketdata/" TargetMode="External"/><Relationship Id="rId516" Type="http://schemas.openxmlformats.org/officeDocument/2006/relationships/hyperlink" Target="https://ru.investing.com/equities/g1-therapeutics-inc-historical-data" TargetMode="External"/><Relationship Id="rId1146" Type="http://schemas.openxmlformats.org/officeDocument/2006/relationships/hyperlink" Target="https://ru.investing.com/equities/uber-technologies-inc-historical-data" TargetMode="External"/><Relationship Id="rId723" Type="http://schemas.openxmlformats.org/officeDocument/2006/relationships/hyperlink" Target="https://www.moex.com/ru/marketdata/" TargetMode="External"/><Relationship Id="rId930" Type="http://schemas.openxmlformats.org/officeDocument/2006/relationships/hyperlink" Target="https://ru.investing.com/equities/liberty-media-inter-historical-data?cid=1214402" TargetMode="External"/><Relationship Id="rId1006" Type="http://schemas.openxmlformats.org/officeDocument/2006/relationships/hyperlink" Target="https://ru.investing.com/equities/southern-copper-corp.-historical-data" TargetMode="External"/><Relationship Id="rId1353" Type="http://schemas.openxmlformats.org/officeDocument/2006/relationships/hyperlink" Target="https://www.moex.com/ru/marketdata/" TargetMode="External"/><Relationship Id="rId155" Type="http://schemas.openxmlformats.org/officeDocument/2006/relationships/hyperlink" Target="https://ru.investing.com/equities/bill-com-holdings-inc-historical-data" TargetMode="External"/><Relationship Id="rId362" Type="http://schemas.openxmlformats.org/officeDocument/2006/relationships/hyperlink" Target="https://ru.investing.com/equities/dentsply-intl-inc-new-historical-data" TargetMode="External"/><Relationship Id="rId1213" Type="http://schemas.openxmlformats.org/officeDocument/2006/relationships/hyperlink" Target="https://www.moex.com/ru/marketdata/" TargetMode="External"/><Relationship Id="rId1297" Type="http://schemas.openxmlformats.org/officeDocument/2006/relationships/hyperlink" Target="https://www.moex.com/ru/marketdata/" TargetMode="External"/><Relationship Id="rId222" Type="http://schemas.openxmlformats.org/officeDocument/2006/relationships/hyperlink" Target="https://www.moex.com/ru/marketdata/" TargetMode="External"/><Relationship Id="rId667" Type="http://schemas.openxmlformats.org/officeDocument/2006/relationships/hyperlink" Target="https://www.moex.com/ru/marketdata/" TargetMode="External"/><Relationship Id="rId874" Type="http://schemas.openxmlformats.org/officeDocument/2006/relationships/hyperlink" Target="https://ru.investing.com/equities/performance-food-group-co-historical-data" TargetMode="External"/><Relationship Id="rId17" Type="http://schemas.openxmlformats.org/officeDocument/2006/relationships/hyperlink" Target="https://ru.investing.com/equities/aberc-fitch-a-historical-data" TargetMode="External"/><Relationship Id="rId527" Type="http://schemas.openxmlformats.org/officeDocument/2006/relationships/hyperlink" Target="https://www.moex.com/ru/marketdata/" TargetMode="External"/><Relationship Id="rId734" Type="http://schemas.openxmlformats.org/officeDocument/2006/relationships/hyperlink" Target="https://ru.investing.com/equities/mcdonalds-historical-data" TargetMode="External"/><Relationship Id="rId941" Type="http://schemas.openxmlformats.org/officeDocument/2006/relationships/hyperlink" Target="https://www.moex.com/ru/marketdata/" TargetMode="External"/><Relationship Id="rId1157" Type="http://schemas.openxmlformats.org/officeDocument/2006/relationships/hyperlink" Target="https://www.moex.com/ru/marketdata/" TargetMode="External"/><Relationship Id="rId1364" Type="http://schemas.openxmlformats.org/officeDocument/2006/relationships/hyperlink" Target="https://www.moex.com/ru/marketdata/" TargetMode="External"/><Relationship Id="rId70" Type="http://schemas.openxmlformats.org/officeDocument/2006/relationships/hyperlink" Target="https://www.moex.com/ru/marketdata/" TargetMode="External"/><Relationship Id="rId166" Type="http://schemas.openxmlformats.org/officeDocument/2006/relationships/hyperlink" Target="https://www.moex.com/ru/marketdata/" TargetMode="External"/><Relationship Id="rId373" Type="http://schemas.openxmlformats.org/officeDocument/2006/relationships/hyperlink" Target="https://www.moex.com/ru/marketdata/" TargetMode="External"/><Relationship Id="rId580" Type="http://schemas.openxmlformats.org/officeDocument/2006/relationships/hyperlink" Target="https://ru.investing.com/equities/huntgtn-bkshr-historical-data" TargetMode="External"/><Relationship Id="rId801" Type="http://schemas.openxmlformats.org/officeDocument/2006/relationships/hyperlink" Target="https://www.moex.com/ru/marketdata/" TargetMode="External"/><Relationship Id="rId1017" Type="http://schemas.openxmlformats.org/officeDocument/2006/relationships/hyperlink" Target="https://www.moex.com/ru/marketdata/" TargetMode="External"/><Relationship Id="rId1224" Type="http://schemas.openxmlformats.org/officeDocument/2006/relationships/hyperlink" Target="https://ru.investing.com/equities/waters-corp-historical-data" TargetMode="External"/><Relationship Id="rId1" Type="http://schemas.openxmlformats.org/officeDocument/2006/relationships/hyperlink" Target="https://cbr.ru/currency_base/daily/?UniDbQuery.Posted=True&amp;UniDbQuery.To=15.08.2026" TargetMode="External"/><Relationship Id="rId233" Type="http://schemas.openxmlformats.org/officeDocument/2006/relationships/hyperlink" Target="https://ru.investing.com/equities/centene-historical-data" TargetMode="External"/><Relationship Id="rId440" Type="http://schemas.openxmlformats.org/officeDocument/2006/relationships/hyperlink" Target="https://ru.investing.com/equities/equifax-inc-historical-data" TargetMode="External"/><Relationship Id="rId678" Type="http://schemas.openxmlformats.org/officeDocument/2006/relationships/hyperlink" Target="https://ru.investing.com/equities/leggett---platt-historical-data" TargetMode="External"/><Relationship Id="rId885" Type="http://schemas.openxmlformats.org/officeDocument/2006/relationships/hyperlink" Target="https://www.moex.com/ru/marketdata/" TargetMode="External"/><Relationship Id="rId1070" Type="http://schemas.openxmlformats.org/officeDocument/2006/relationships/hyperlink" Target="https://ru.investing.com/equities/teradyne-inc-historical-data" TargetMode="External"/><Relationship Id="rId28" Type="http://schemas.openxmlformats.org/officeDocument/2006/relationships/hyperlink" Target="https://www.moex.com/ru/marketdata/" TargetMode="External"/><Relationship Id="rId300" Type="http://schemas.openxmlformats.org/officeDocument/2006/relationships/hyperlink" Target="https://www.moex.com/ru/marketdata/" TargetMode="External"/><Relationship Id="rId538" Type="http://schemas.openxmlformats.org/officeDocument/2006/relationships/hyperlink" Target="https://ru.investing.com/equities/godaddy-inc-historical-data" TargetMode="External"/><Relationship Id="rId745" Type="http://schemas.openxmlformats.org/officeDocument/2006/relationships/hyperlink" Target="https://www.moex.com/ru/marketdata/" TargetMode="External"/><Relationship Id="rId952" Type="http://schemas.openxmlformats.org/officeDocument/2006/relationships/hyperlink" Target="https://ru.investing.com/equities/robert-half-intl-historical-data" TargetMode="External"/><Relationship Id="rId1168" Type="http://schemas.openxmlformats.org/officeDocument/2006/relationships/hyperlink" Target="https://ru.investing.com/equities/unum-group-historical-data" TargetMode="External"/><Relationship Id="rId1375" Type="http://schemas.openxmlformats.org/officeDocument/2006/relationships/hyperlink" Target="https://www.moex.com/ru/marketdata/" TargetMode="External"/><Relationship Id="rId81" Type="http://schemas.openxmlformats.org/officeDocument/2006/relationships/hyperlink" Target="https://ru.investing.com/equities/ameriprise-fincl-historical-data" TargetMode="External"/><Relationship Id="rId177" Type="http://schemas.openxmlformats.org/officeDocument/2006/relationships/hyperlink" Target="https://ru.investing.com/equities/priceline.com-inc-historical-data" TargetMode="External"/><Relationship Id="rId384" Type="http://schemas.openxmlformats.org/officeDocument/2006/relationships/hyperlink" Target="https://ru.investing.com/equities/dominion-res-historical-data" TargetMode="External"/><Relationship Id="rId591" Type="http://schemas.openxmlformats.org/officeDocument/2006/relationships/hyperlink" Target="https://www.moex.com/ru/marketdata/" TargetMode="External"/><Relationship Id="rId605" Type="http://schemas.openxmlformats.org/officeDocument/2006/relationships/hyperlink" Target="https://www.moex.com/ru/marketdata/" TargetMode="External"/><Relationship Id="rId812" Type="http://schemas.openxmlformats.org/officeDocument/2006/relationships/hyperlink" Target="https://ru.investing.com/equities/nucor-historical-data" TargetMode="External"/><Relationship Id="rId1028" Type="http://schemas.openxmlformats.org/officeDocument/2006/relationships/hyperlink" Target="https://ru.investing.com/equities/steel-dynamics-historical-data" TargetMode="External"/><Relationship Id="rId1235" Type="http://schemas.openxmlformats.org/officeDocument/2006/relationships/hyperlink" Target="https://www.moex.com/ru/marketdata/" TargetMode="External"/><Relationship Id="rId244" Type="http://schemas.openxmlformats.org/officeDocument/2006/relationships/hyperlink" Target="https://www.moex.com/ru/marketdata/" TargetMode="External"/><Relationship Id="rId689" Type="http://schemas.openxmlformats.org/officeDocument/2006/relationships/hyperlink" Target="https://www.moex.com/ru/marketdata/" TargetMode="External"/><Relationship Id="rId896" Type="http://schemas.openxmlformats.org/officeDocument/2006/relationships/hyperlink" Target="https://ru.investing.com/equities/pool-corp-historical-data" TargetMode="External"/><Relationship Id="rId1081" Type="http://schemas.openxmlformats.org/officeDocument/2006/relationships/hyperlink" Target="https://www.moex.com/ru/marketdata/" TargetMode="External"/><Relationship Id="rId1302" Type="http://schemas.openxmlformats.org/officeDocument/2006/relationships/hyperlink" Target="https://ru.investing.com/equities/li-auto-inc-historical-data" TargetMode="External"/><Relationship Id="rId39" Type="http://schemas.openxmlformats.org/officeDocument/2006/relationships/hyperlink" Target="https://ru.investing.com/equities/airbnb-inc-historical-data" TargetMode="External"/><Relationship Id="rId451" Type="http://schemas.openxmlformats.org/officeDocument/2006/relationships/hyperlink" Target="https://www.moex.com/ru/marketdata/" TargetMode="External"/><Relationship Id="rId549" Type="http://schemas.openxmlformats.org/officeDocument/2006/relationships/hyperlink" Target="https://www.moex.com/ru/marketdata/" TargetMode="External"/><Relationship Id="rId756" Type="http://schemas.openxmlformats.org/officeDocument/2006/relationships/hyperlink" Target="https://ru.investing.com/equities/microvision-historical-data" TargetMode="External"/><Relationship Id="rId1179" Type="http://schemas.openxmlformats.org/officeDocument/2006/relationships/hyperlink" Target="https://www.moex.com/ru/marketdata/" TargetMode="External"/><Relationship Id="rId104" Type="http://schemas.openxmlformats.org/officeDocument/2006/relationships/hyperlink" Target="https://www.moex.com/ru/marketdata/" TargetMode="External"/><Relationship Id="rId188" Type="http://schemas.openxmlformats.org/officeDocument/2006/relationships/hyperlink" Target="https://www.moex.com/ru/marketdata/" TargetMode="External"/><Relationship Id="rId311" Type="http://schemas.openxmlformats.org/officeDocument/2006/relationships/hyperlink" Target="https://www.moex.com/ru/marketdata/" TargetMode="External"/><Relationship Id="rId395" Type="http://schemas.openxmlformats.org/officeDocument/2006/relationships/hyperlink" Target="https://www.moex.com/ru/marketdata/" TargetMode="External"/><Relationship Id="rId409" Type="http://schemas.openxmlformats.org/officeDocument/2006/relationships/hyperlink" Target="https://www.moex.com/ru/marketdata/" TargetMode="External"/><Relationship Id="rId963" Type="http://schemas.openxmlformats.org/officeDocument/2006/relationships/hyperlink" Target="https://www.moex.com/ru/marketdata/" TargetMode="External"/><Relationship Id="rId1039" Type="http://schemas.openxmlformats.org/officeDocument/2006/relationships/hyperlink" Target="https://www.moex.com/ru/marketdata/" TargetMode="External"/><Relationship Id="rId1246" Type="http://schemas.openxmlformats.org/officeDocument/2006/relationships/hyperlink" Target="https://ru.investing.com/equities/workday-inc-historical-data" TargetMode="External"/><Relationship Id="rId92" Type="http://schemas.openxmlformats.org/officeDocument/2006/relationships/hyperlink" Target="https://www.moex.com/ru/marketdata/" TargetMode="External"/><Relationship Id="rId616" Type="http://schemas.openxmlformats.org/officeDocument/2006/relationships/hyperlink" Target="https://ru.investing.com/equities/invitae-corp-historical-data" TargetMode="External"/><Relationship Id="rId823" Type="http://schemas.openxmlformats.org/officeDocument/2006/relationships/hyperlink" Target="https://www.moex.com/ru/marketdata/" TargetMode="External"/><Relationship Id="rId255" Type="http://schemas.openxmlformats.org/officeDocument/2006/relationships/hyperlink" Target="https://ru.investing.com/equities/chipotle-mexican-grill-inc-historical-data" TargetMode="External"/><Relationship Id="rId462" Type="http://schemas.openxmlformats.org/officeDocument/2006/relationships/hyperlink" Target="https://ru.investing.com/equities/exxon-mobil-historical-data" TargetMode="External"/><Relationship Id="rId1092" Type="http://schemas.openxmlformats.org/officeDocument/2006/relationships/hyperlink" Target="https://ru.investing.com/equities/hershey-co-historical-data" TargetMode="External"/><Relationship Id="rId1106" Type="http://schemas.openxmlformats.org/officeDocument/2006/relationships/hyperlink" Target="https://ru.investing.com/equities/southern-co-historical-data" TargetMode="External"/><Relationship Id="rId1313" Type="http://schemas.openxmlformats.org/officeDocument/2006/relationships/hyperlink" Target="https://www.moex.com/ru/marketdata/" TargetMode="External"/><Relationship Id="rId115" Type="http://schemas.openxmlformats.org/officeDocument/2006/relationships/hyperlink" Target="https://ru.investing.com/equities/arthur-j.-gallagher---co-historical-data" TargetMode="External"/><Relationship Id="rId322" Type="http://schemas.openxmlformats.org/officeDocument/2006/relationships/hyperlink" Target="https://ru.investing.com/equities/cabot-oil---gas-historical-data" TargetMode="External"/><Relationship Id="rId767" Type="http://schemas.openxmlformats.org/officeDocument/2006/relationships/hyperlink" Target="https://www.moex.com/ru/marketdata/" TargetMode="External"/><Relationship Id="rId974" Type="http://schemas.openxmlformats.org/officeDocument/2006/relationships/hyperlink" Target="https://ru.investing.com/equities/sempra-energy-historical-data" TargetMode="External"/><Relationship Id="rId199" Type="http://schemas.openxmlformats.org/officeDocument/2006/relationships/hyperlink" Target="https://ru.investing.com/equities/caesars-entertainment-corp-historical-data" TargetMode="External"/><Relationship Id="rId627" Type="http://schemas.openxmlformats.org/officeDocument/2006/relationships/hyperlink" Target="https://www.moex.com/ru/marketdata/" TargetMode="External"/><Relationship Id="rId834" Type="http://schemas.openxmlformats.org/officeDocument/2006/relationships/hyperlink" Target="https://ru.investing.com/equities/oneok-historical-data" TargetMode="External"/><Relationship Id="rId1257" Type="http://schemas.openxmlformats.org/officeDocument/2006/relationships/hyperlink" Target="https://www.moex.com/ru/marketdata/" TargetMode="External"/><Relationship Id="rId266" Type="http://schemas.openxmlformats.org/officeDocument/2006/relationships/hyperlink" Target="https://www.moex.com/ru/marketdata/" TargetMode="External"/><Relationship Id="rId473" Type="http://schemas.openxmlformats.org/officeDocument/2006/relationships/hyperlink" Target="https://www.moex.com/ru/marketdata/" TargetMode="External"/><Relationship Id="rId680" Type="http://schemas.openxmlformats.org/officeDocument/2006/relationships/hyperlink" Target="https://ru.investing.com/equities/lennar-historical-data" TargetMode="External"/><Relationship Id="rId901" Type="http://schemas.openxmlformats.org/officeDocument/2006/relationships/hyperlink" Target="https://www.moex.com/ru/marketdata/" TargetMode="External"/><Relationship Id="rId1117" Type="http://schemas.openxmlformats.org/officeDocument/2006/relationships/hyperlink" Target="https://www.moex.com/ru/marketdata/" TargetMode="External"/><Relationship Id="rId1324" Type="http://schemas.openxmlformats.org/officeDocument/2006/relationships/hyperlink" Target="https://ru.investing.com/equities/robinhood-markets-historical-data" TargetMode="External"/><Relationship Id="rId30" Type="http://schemas.openxmlformats.org/officeDocument/2006/relationships/hyperlink" Target="https://www.moex.com/ru/marketdata/" TargetMode="External"/><Relationship Id="rId126" Type="http://schemas.openxmlformats.org/officeDocument/2006/relationships/hyperlink" Target="https://www.moex.com/ru/marketdata/" TargetMode="External"/><Relationship Id="rId333" Type="http://schemas.openxmlformats.org/officeDocument/2006/relationships/hyperlink" Target="https://www.moex.com/ru/marketdata/" TargetMode="External"/><Relationship Id="rId540" Type="http://schemas.openxmlformats.org/officeDocument/2006/relationships/hyperlink" Target="https://ru.investing.com/equities/goodrx-holdings-inc-historical-data" TargetMode="External"/><Relationship Id="rId778" Type="http://schemas.openxmlformats.org/officeDocument/2006/relationships/hyperlink" Target="https://ru.investing.com/equities/murphy-oil-corp-historical-data" TargetMode="External"/><Relationship Id="rId985" Type="http://schemas.openxmlformats.org/officeDocument/2006/relationships/hyperlink" Target="https://www.moex.com/ru/marketdata/" TargetMode="External"/><Relationship Id="rId1170" Type="http://schemas.openxmlformats.org/officeDocument/2006/relationships/hyperlink" Target="https://ru.investing.com/equities/upwork-historical-data" TargetMode="External"/><Relationship Id="rId638" Type="http://schemas.openxmlformats.org/officeDocument/2006/relationships/hyperlink" Target="https://ru.investing.com/equities/jp-morgan-chase-historical-data" TargetMode="External"/><Relationship Id="rId845" Type="http://schemas.openxmlformats.org/officeDocument/2006/relationships/hyperlink" Target="https://www.moex.com/ru/marketdata/" TargetMode="External"/><Relationship Id="rId1030" Type="http://schemas.openxmlformats.org/officeDocument/2006/relationships/hyperlink" Target="https://ru.investing.com/equities/stitch-fix-historical-data" TargetMode="External"/><Relationship Id="rId1268" Type="http://schemas.openxmlformats.org/officeDocument/2006/relationships/hyperlink" Target="https://ru.investing.com/equities/yum!-brands-inc-historical-data" TargetMode="External"/><Relationship Id="rId277" Type="http://schemas.openxmlformats.org/officeDocument/2006/relationships/hyperlink" Target="https://ru.investing.com/equities/clorox-co-historical-data" TargetMode="External"/><Relationship Id="rId400" Type="http://schemas.openxmlformats.org/officeDocument/2006/relationships/hyperlink" Target="https://ru.investing.com/equities/duke-energy-historical-data" TargetMode="External"/><Relationship Id="rId484" Type="http://schemas.openxmlformats.org/officeDocument/2006/relationships/hyperlink" Target="https://ru.investing.com/equities/fiserv-inc-historical-data" TargetMode="External"/><Relationship Id="rId705" Type="http://schemas.openxmlformats.org/officeDocument/2006/relationships/hyperlink" Target="https://www.moex.com/ru/marketdata/" TargetMode="External"/><Relationship Id="rId1128" Type="http://schemas.openxmlformats.org/officeDocument/2006/relationships/hyperlink" Target="https://ru.investing.com/equities/trimble-navigation-ltd-historical-data" TargetMode="External"/><Relationship Id="rId1335" Type="http://schemas.openxmlformats.org/officeDocument/2006/relationships/hyperlink" Target="https://ru.investing.com/etfs/ishares-s-p-global-infrastructure-historical-data" TargetMode="External"/><Relationship Id="rId137" Type="http://schemas.openxmlformats.org/officeDocument/2006/relationships/hyperlink" Target="https://ru.investing.com/equities/ball-corp-historical-data" TargetMode="External"/><Relationship Id="rId344" Type="http://schemas.openxmlformats.org/officeDocument/2006/relationships/hyperlink" Target="https://ru.investing.com/equities/danaher-corp-historical-data" TargetMode="External"/><Relationship Id="rId691" Type="http://schemas.openxmlformats.org/officeDocument/2006/relationships/hyperlink" Target="https://www.moex.com/ru/marketdata/" TargetMode="External"/><Relationship Id="rId789" Type="http://schemas.openxmlformats.org/officeDocument/2006/relationships/hyperlink" Target="https://www.moex.com/ru/marketdata/" TargetMode="External"/><Relationship Id="rId912" Type="http://schemas.openxmlformats.org/officeDocument/2006/relationships/hyperlink" Target="https://ru.investing.com/equities/pure-storage-inc-historical-data" TargetMode="External"/><Relationship Id="rId996" Type="http://schemas.openxmlformats.org/officeDocument/2006/relationships/hyperlink" Target="https://ru.investing.com/equities/snapon-inc-historical-data" TargetMode="External"/><Relationship Id="rId41" Type="http://schemas.openxmlformats.org/officeDocument/2006/relationships/hyperlink" Target="https://ru.investing.com/equities/akamai-technologies-inc-historical-data" TargetMode="External"/><Relationship Id="rId551" Type="http://schemas.openxmlformats.org/officeDocument/2006/relationships/hyperlink" Target="https://www.moex.com/ru/marketdata/" TargetMode="External"/><Relationship Id="rId649" Type="http://schemas.openxmlformats.org/officeDocument/2006/relationships/hyperlink" Target="https://www.moex.com/ru/marketdata/" TargetMode="External"/><Relationship Id="rId856" Type="http://schemas.openxmlformats.org/officeDocument/2006/relationships/hyperlink" Target="https://ru.investing.com/equities/parkerhannifin-historical-data" TargetMode="External"/><Relationship Id="rId1181" Type="http://schemas.openxmlformats.org/officeDocument/2006/relationships/hyperlink" Target="https://www.moex.com/ru/marketdata/" TargetMode="External"/><Relationship Id="rId1279" Type="http://schemas.openxmlformats.org/officeDocument/2006/relationships/hyperlink" Target="https://www.moex.com/ru/marketdata/" TargetMode="External"/><Relationship Id="rId190" Type="http://schemas.openxmlformats.org/officeDocument/2006/relationships/hyperlink" Target="https://www.moex.com/ru/marketdata/" TargetMode="External"/><Relationship Id="rId204" Type="http://schemas.openxmlformats.org/officeDocument/2006/relationships/hyperlink" Target="https://www.moex.com/ru/marketdata/" TargetMode="External"/><Relationship Id="rId288" Type="http://schemas.openxmlformats.org/officeDocument/2006/relationships/hyperlink" Target="https://www.moex.com/ru/marketdata/" TargetMode="External"/><Relationship Id="rId411" Type="http://schemas.openxmlformats.org/officeDocument/2006/relationships/hyperlink" Target="https://www.moex.com/ru/marketdata/" TargetMode="External"/><Relationship Id="rId509" Type="http://schemas.openxmlformats.org/officeDocument/2006/relationships/hyperlink" Target="https://www.moex.com/ru/marketdata/" TargetMode="External"/><Relationship Id="rId1041" Type="http://schemas.openxmlformats.org/officeDocument/2006/relationships/hyperlink" Target="https://www.moex.com/ru/marketdata/" TargetMode="External"/><Relationship Id="rId1139" Type="http://schemas.openxmlformats.org/officeDocument/2006/relationships/hyperlink" Target="https://www.moex.com/ru/marketdata/" TargetMode="External"/><Relationship Id="rId1346" Type="http://schemas.openxmlformats.org/officeDocument/2006/relationships/hyperlink" Target="https://ru.investing.com/etfs/vanguard-telecom-historical-data" TargetMode="External"/><Relationship Id="rId495" Type="http://schemas.openxmlformats.org/officeDocument/2006/relationships/hyperlink" Target="https://www.moex.com/ru/marketdata/" TargetMode="External"/><Relationship Id="rId716" Type="http://schemas.openxmlformats.org/officeDocument/2006/relationships/hyperlink" Target="https://ru.investing.com/equities/marqeta-historical-data" TargetMode="External"/><Relationship Id="rId923" Type="http://schemas.openxmlformats.org/officeDocument/2006/relationships/hyperlink" Target="https://www.moex.com/ru/marketdata/" TargetMode="External"/><Relationship Id="rId52" Type="http://schemas.openxmlformats.org/officeDocument/2006/relationships/hyperlink" Target="https://www.moex.com/ru/marketdata/" TargetMode="External"/><Relationship Id="rId148" Type="http://schemas.openxmlformats.org/officeDocument/2006/relationships/hyperlink" Target="https://www.moex.com/ru/marketdata/" TargetMode="External"/><Relationship Id="rId355" Type="http://schemas.openxmlformats.org/officeDocument/2006/relationships/hyperlink" Target="https://www.moex.com/ru/marketdata/" TargetMode="External"/><Relationship Id="rId562" Type="http://schemas.openxmlformats.org/officeDocument/2006/relationships/hyperlink" Target="https://ru.investing.com/equities/hewlett-packard-enterprise-co-historical-data" TargetMode="External"/><Relationship Id="rId1192" Type="http://schemas.openxmlformats.org/officeDocument/2006/relationships/hyperlink" Target="https://ru.investing.com/equities/vf-corp-historical-data" TargetMode="External"/><Relationship Id="rId1206" Type="http://schemas.openxmlformats.org/officeDocument/2006/relationships/hyperlink" Target="https://ru.investing.com/equities/vontier-historical-data" TargetMode="External"/><Relationship Id="rId215" Type="http://schemas.openxmlformats.org/officeDocument/2006/relationships/hyperlink" Target="https://ru.investing.com/equities/carrier-global-corp" TargetMode="External"/><Relationship Id="rId422" Type="http://schemas.openxmlformats.org/officeDocument/2006/relationships/hyperlink" Target="https://ru.investing.com/equities/elanco-animal-health-historical-data" TargetMode="External"/><Relationship Id="rId867" Type="http://schemas.openxmlformats.org/officeDocument/2006/relationships/hyperlink" Target="https://www.moex.com/ru/marketdata/" TargetMode="External"/><Relationship Id="rId1052" Type="http://schemas.openxmlformats.org/officeDocument/2006/relationships/hyperlink" Target="https://ru.investing.com/equities/target-historical-data" TargetMode="External"/><Relationship Id="rId299" Type="http://schemas.openxmlformats.org/officeDocument/2006/relationships/hyperlink" Target="https://ru.investing.com/equities/comerica-inc-historical-data" TargetMode="External"/><Relationship Id="rId727" Type="http://schemas.openxmlformats.org/officeDocument/2006/relationships/hyperlink" Target="https://www.moex.com/ru/marketdata/" TargetMode="External"/><Relationship Id="rId934" Type="http://schemas.openxmlformats.org/officeDocument/2006/relationships/hyperlink" Target="https://ru.investing.com/equities/range-resources-corp-historical-data" TargetMode="External"/><Relationship Id="rId1357" Type="http://schemas.openxmlformats.org/officeDocument/2006/relationships/hyperlink" Target="https://www.moex.com/ru/marketdata/" TargetMode="External"/><Relationship Id="rId63" Type="http://schemas.openxmlformats.org/officeDocument/2006/relationships/hyperlink" Target="https://ru.investing.com/equities/american-eagle-outfitters-historical-data" TargetMode="External"/><Relationship Id="rId159" Type="http://schemas.openxmlformats.org/officeDocument/2006/relationships/hyperlink" Target="https://ru.investing.com/equities/bionano-genomics-historical-data?cid=1205755" TargetMode="External"/><Relationship Id="rId366" Type="http://schemas.openxmlformats.org/officeDocument/2006/relationships/hyperlink" Target="https://ru.investing.com/equities/dexcom-historical-data" TargetMode="External"/><Relationship Id="rId573" Type="http://schemas.openxmlformats.org/officeDocument/2006/relationships/hyperlink" Target="https://www.moex.com/ru/marketdata/" TargetMode="External"/><Relationship Id="rId780" Type="http://schemas.openxmlformats.org/officeDocument/2006/relationships/hyperlink" Target="https://ru.investing.com/equities/nasdaq-omx-group-historical-data" TargetMode="External"/><Relationship Id="rId1217" Type="http://schemas.openxmlformats.org/officeDocument/2006/relationships/hyperlink" Target="https://www.moex.com/ru/marketdata/" TargetMode="External"/><Relationship Id="rId226" Type="http://schemas.openxmlformats.org/officeDocument/2006/relationships/hyperlink" Target="https://www.moex.com/ru/marketdata/" TargetMode="External"/><Relationship Id="rId433" Type="http://schemas.openxmlformats.org/officeDocument/2006/relationships/hyperlink" Target="https://www.moex.com/ru/marketdata/" TargetMode="External"/><Relationship Id="rId878" Type="http://schemas.openxmlformats.org/officeDocument/2006/relationships/hyperlink" Target="https://ru.investing.com/equities/pacific-gas-electric-historical-data" TargetMode="External"/><Relationship Id="rId1063" Type="http://schemas.openxmlformats.org/officeDocument/2006/relationships/hyperlink" Target="https://www.moex.com/ru/marketdata/" TargetMode="External"/><Relationship Id="rId1270" Type="http://schemas.openxmlformats.org/officeDocument/2006/relationships/hyperlink" Target="https://ru.investing.com/equities/yum-china-holdings-inc-historical-data" TargetMode="External"/><Relationship Id="rId640" Type="http://schemas.openxmlformats.org/officeDocument/2006/relationships/hyperlink" Target="https://ru.investing.com/equities/juniper-networks-inc-historical-data" TargetMode="External"/><Relationship Id="rId738" Type="http://schemas.openxmlformats.org/officeDocument/2006/relationships/hyperlink" Target="https://ru.investing.com/equities/merck---co-historical-data" TargetMode="External"/><Relationship Id="rId945" Type="http://schemas.openxmlformats.org/officeDocument/2006/relationships/hyperlink" Target="https://www.moex.com/ru/marketdata/" TargetMode="External"/><Relationship Id="rId1368" Type="http://schemas.openxmlformats.org/officeDocument/2006/relationships/hyperlink" Target="https://www.moex.com/ru/marketdata/" TargetMode="External"/><Relationship Id="rId74" Type="http://schemas.openxmlformats.org/officeDocument/2006/relationships/hyperlink" Target="https://www.moex.com/ru/marketdata/" TargetMode="External"/><Relationship Id="rId377" Type="http://schemas.openxmlformats.org/officeDocument/2006/relationships/hyperlink" Target="https://www.moex.com/ru/marketdata/" TargetMode="External"/><Relationship Id="rId500" Type="http://schemas.openxmlformats.org/officeDocument/2006/relationships/hyperlink" Target="https://ru.investing.com/equities/fortinet-historical-data" TargetMode="External"/><Relationship Id="rId584" Type="http://schemas.openxmlformats.org/officeDocument/2006/relationships/hyperlink" Target="https://ru.investing.com/equities/ibm-historical-data" TargetMode="External"/><Relationship Id="rId805" Type="http://schemas.openxmlformats.org/officeDocument/2006/relationships/hyperlink" Target="https://www.moex.com/ru/marketdata/" TargetMode="External"/><Relationship Id="rId1130" Type="http://schemas.openxmlformats.org/officeDocument/2006/relationships/hyperlink" Target="https://ru.investing.com/equities/tripadvisor-historical-data" TargetMode="External"/><Relationship Id="rId1228" Type="http://schemas.openxmlformats.org/officeDocument/2006/relationships/hyperlink" Target="https://ru.investing.com/equities/wisconsin-energy-corp-historical-data" TargetMode="External"/><Relationship Id="rId5" Type="http://schemas.openxmlformats.org/officeDocument/2006/relationships/hyperlink" Target="https://ru.investing.com/equities/2u-inc-historical-data?cid=1185384" TargetMode="External"/><Relationship Id="rId237" Type="http://schemas.openxmlformats.org/officeDocument/2006/relationships/hyperlink" Target="https://ru.investing.com/equities/apergy-historical-data" TargetMode="External"/><Relationship Id="rId791" Type="http://schemas.openxmlformats.org/officeDocument/2006/relationships/hyperlink" Target="https://www.moex.com/ru/marketdata/" TargetMode="External"/><Relationship Id="rId889" Type="http://schemas.openxmlformats.org/officeDocument/2006/relationships/hyperlink" Target="https://www.moex.com/ru/marketdata/" TargetMode="External"/><Relationship Id="rId1074" Type="http://schemas.openxmlformats.org/officeDocument/2006/relationships/hyperlink" Target="https://ru.investing.com/equities/texas-instru-historical-data" TargetMode="External"/><Relationship Id="rId444" Type="http://schemas.openxmlformats.org/officeDocument/2006/relationships/hyperlink" Target="https://ru.investing.com/equities/estee-lauder-historical-data" TargetMode="External"/><Relationship Id="rId651" Type="http://schemas.openxmlformats.org/officeDocument/2006/relationships/hyperlink" Target="https://www.moex.com/ru/marketdata/" TargetMode="External"/><Relationship Id="rId749" Type="http://schemas.openxmlformats.org/officeDocument/2006/relationships/hyperlink" Target="https://www.moex.com/ru/marketdata/" TargetMode="External"/><Relationship Id="rId1281" Type="http://schemas.openxmlformats.org/officeDocument/2006/relationships/hyperlink" Target="https://www.moex.com/ru/marketdata/" TargetMode="External"/><Relationship Id="rId290" Type="http://schemas.openxmlformats.org/officeDocument/2006/relationships/hyperlink" Target="https://www.moex.com/ru/marketdata/" TargetMode="External"/><Relationship Id="rId304" Type="http://schemas.openxmlformats.org/officeDocument/2006/relationships/hyperlink" Target="https://www.moex.com/ru/marketdata/" TargetMode="External"/><Relationship Id="rId388" Type="http://schemas.openxmlformats.org/officeDocument/2006/relationships/hyperlink" Target="https://ru.investing.com/equities/doordash-inc-historical-data" TargetMode="External"/><Relationship Id="rId511" Type="http://schemas.openxmlformats.org/officeDocument/2006/relationships/hyperlink" Target="https://www.moex.com/ru/marketdata/" TargetMode="External"/><Relationship Id="rId609" Type="http://schemas.openxmlformats.org/officeDocument/2006/relationships/hyperlink" Target="https://www.moex.com/ru/marketdata/" TargetMode="External"/><Relationship Id="rId956" Type="http://schemas.openxmlformats.org/officeDocument/2006/relationships/hyperlink" Target="https://ru.investing.com/equities/roku-historical-data" TargetMode="External"/><Relationship Id="rId1141" Type="http://schemas.openxmlformats.org/officeDocument/2006/relationships/hyperlink" Target="https://www.moex.com/ru/marketdata/" TargetMode="External"/><Relationship Id="rId1239" Type="http://schemas.openxmlformats.org/officeDocument/2006/relationships/hyperlink" Target="https://www.moex.com/ru/marketdata/" TargetMode="External"/><Relationship Id="rId85" Type="http://schemas.openxmlformats.org/officeDocument/2006/relationships/hyperlink" Target="https://ru.investing.com/equities/amgen-inc-historical-data" TargetMode="External"/><Relationship Id="rId150" Type="http://schemas.openxmlformats.org/officeDocument/2006/relationships/hyperlink" Target="https://www.moex.com/ru/marketdata/" TargetMode="External"/><Relationship Id="rId595" Type="http://schemas.openxmlformats.org/officeDocument/2006/relationships/hyperlink" Target="https://www.moex.com/ru/marketdata/" TargetMode="External"/><Relationship Id="rId816" Type="http://schemas.openxmlformats.org/officeDocument/2006/relationships/hyperlink" Target="https://ru.investing.com/equities/nvidia-corp-historical-data" TargetMode="External"/><Relationship Id="rId1001" Type="http://schemas.openxmlformats.org/officeDocument/2006/relationships/hyperlink" Target="https://www.moex.com/ru/marketdata/" TargetMode="External"/><Relationship Id="rId248" Type="http://schemas.openxmlformats.org/officeDocument/2006/relationships/hyperlink" Target="https://www.moex.com/ru/marketdata/" TargetMode="External"/><Relationship Id="rId455" Type="http://schemas.openxmlformats.org/officeDocument/2006/relationships/hyperlink" Target="https://www.moex.com/ru/marketdata/" TargetMode="External"/><Relationship Id="rId662" Type="http://schemas.openxmlformats.org/officeDocument/2006/relationships/hyperlink" Target="https://ru.investing.com/equities/kopin-corp-historical-data" TargetMode="External"/><Relationship Id="rId1085" Type="http://schemas.openxmlformats.org/officeDocument/2006/relationships/hyperlink" Target="https://www.moex.com/ru/marketdata/" TargetMode="External"/><Relationship Id="rId1292" Type="http://schemas.openxmlformats.org/officeDocument/2006/relationships/hyperlink" Target="https://ru.investing.com/equities/alibaba-historical-data" TargetMode="External"/><Relationship Id="rId1306" Type="http://schemas.openxmlformats.org/officeDocument/2006/relationships/hyperlink" Target="https://ru.investing.com/equities/novartis-ag-historical-data" TargetMode="External"/><Relationship Id="rId12" Type="http://schemas.openxmlformats.org/officeDocument/2006/relationships/hyperlink" Target="https://www.moex.com/ru/marketdata/" TargetMode="External"/><Relationship Id="rId108" Type="http://schemas.openxmlformats.org/officeDocument/2006/relationships/hyperlink" Target="https://www.moex.com/ru/marketdata/" TargetMode="External"/><Relationship Id="rId315" Type="http://schemas.openxmlformats.org/officeDocument/2006/relationships/hyperlink" Target="https://www.moex.com/ru/marketdata/" TargetMode="External"/><Relationship Id="rId522" Type="http://schemas.openxmlformats.org/officeDocument/2006/relationships/hyperlink" Target="https://ru.investing.com/equities/symantec-corp-historical-data" TargetMode="External"/><Relationship Id="rId967" Type="http://schemas.openxmlformats.org/officeDocument/2006/relationships/hyperlink" Target="https://www.moex.com/ru/marketdata/" TargetMode="External"/><Relationship Id="rId1152" Type="http://schemas.openxmlformats.org/officeDocument/2006/relationships/hyperlink" Target="https://ru.investing.com/equities/under-armour-c-historical-data" TargetMode="External"/><Relationship Id="rId96" Type="http://schemas.openxmlformats.org/officeDocument/2006/relationships/hyperlink" Target="https://www.moex.com/ru/marketdata/" TargetMode="External"/><Relationship Id="rId161" Type="http://schemas.openxmlformats.org/officeDocument/2006/relationships/hyperlink" Target="https://ru.investing.com/equities/bio-rad-laboratories-inc-historical-data" TargetMode="External"/><Relationship Id="rId399" Type="http://schemas.openxmlformats.org/officeDocument/2006/relationships/hyperlink" Target="https://www.moex.com/ru/marketdata/" TargetMode="External"/><Relationship Id="rId827" Type="http://schemas.openxmlformats.org/officeDocument/2006/relationships/hyperlink" Target="https://www.moex.com/ru/marketdata/" TargetMode="External"/><Relationship Id="rId1012" Type="http://schemas.openxmlformats.org/officeDocument/2006/relationships/hyperlink" Target="https://ru.investing.com/equities/spirit-aerosystems-holdings-inc-historical-data" TargetMode="External"/><Relationship Id="rId259" Type="http://schemas.openxmlformats.org/officeDocument/2006/relationships/hyperlink" Target="https://ru.investing.com/equities/cincinnati-fin-historical-data" TargetMode="External"/><Relationship Id="rId466" Type="http://schemas.openxmlformats.org/officeDocument/2006/relationships/hyperlink" Target="https://ru.investing.com/equities/fastenal-co-historical-data" TargetMode="External"/><Relationship Id="rId673" Type="http://schemas.openxmlformats.org/officeDocument/2006/relationships/hyperlink" Target="https://www.moex.com/ru/marketdata/" TargetMode="External"/><Relationship Id="rId880" Type="http://schemas.openxmlformats.org/officeDocument/2006/relationships/hyperlink" Target="https://ru.investing.com/equities/philip-morris-intl-historical-data" TargetMode="External"/><Relationship Id="rId1096" Type="http://schemas.openxmlformats.org/officeDocument/2006/relationships/hyperlink" Target="https://ru.investing.com/equities/kroger-co-historical-data" TargetMode="External"/><Relationship Id="rId1317" Type="http://schemas.openxmlformats.org/officeDocument/2006/relationships/hyperlink" Target="https://www.moex.com/ru/marketdata/" TargetMode="External"/><Relationship Id="rId23" Type="http://schemas.openxmlformats.org/officeDocument/2006/relationships/hyperlink" Target="https://ru.investing.com/equities/acadia-pharmaceuticals-historical-data" TargetMode="External"/><Relationship Id="rId119" Type="http://schemas.openxmlformats.org/officeDocument/2006/relationships/hyperlink" Target="https://ru.investing.com/equities/at-t-historical-data" TargetMode="External"/><Relationship Id="rId326" Type="http://schemas.openxmlformats.org/officeDocument/2006/relationships/hyperlink" Target="https://ru.investing.com/equities/coupa-software-inc-historical-data" TargetMode="External"/><Relationship Id="rId533" Type="http://schemas.openxmlformats.org/officeDocument/2006/relationships/hyperlink" Target="https://www.moex.com/ru/marketdata/" TargetMode="External"/><Relationship Id="rId978" Type="http://schemas.openxmlformats.org/officeDocument/2006/relationships/hyperlink" Target="https://ru.investing.com/equities/servicenow-inc-historical-data" TargetMode="External"/><Relationship Id="rId1163" Type="http://schemas.openxmlformats.org/officeDocument/2006/relationships/hyperlink" Target="https://www.moex.com/ru/marketdata/" TargetMode="External"/><Relationship Id="rId1370" Type="http://schemas.openxmlformats.org/officeDocument/2006/relationships/hyperlink" Target="https://www.moex.com/ru/marketdata/" TargetMode="External"/><Relationship Id="rId740" Type="http://schemas.openxmlformats.org/officeDocument/2006/relationships/hyperlink" Target="https://ru.investing.com/equities/metlife-inc-historical-data" TargetMode="External"/><Relationship Id="rId838" Type="http://schemas.openxmlformats.org/officeDocument/2006/relationships/hyperlink" Target="https://ru.investing.com/equities/orasure-tech-historical-data" TargetMode="External"/><Relationship Id="rId1023" Type="http://schemas.openxmlformats.org/officeDocument/2006/relationships/hyperlink" Target="https://www.moex.com/ru/marketdata/" TargetMode="External"/><Relationship Id="rId172" Type="http://schemas.openxmlformats.org/officeDocument/2006/relationships/hyperlink" Target="https://www.moex.com/ru/marketdata/" TargetMode="External"/><Relationship Id="rId477" Type="http://schemas.openxmlformats.org/officeDocument/2006/relationships/hyperlink" Target="https://www.moex.com/ru/marketdata/" TargetMode="External"/><Relationship Id="rId600" Type="http://schemas.openxmlformats.org/officeDocument/2006/relationships/hyperlink" Target="https://ru.investing.com/equities/intel-corp-historical-data" TargetMode="External"/><Relationship Id="rId684" Type="http://schemas.openxmlformats.org/officeDocument/2006/relationships/hyperlink" Target="https://ru.investing.com/equities/live-nation-entertainment-inc-historical-data" TargetMode="External"/><Relationship Id="rId1230" Type="http://schemas.openxmlformats.org/officeDocument/2006/relationships/hyperlink" Target="https://ru.investing.com/equities/wells-fargo-historical-data" TargetMode="External"/><Relationship Id="rId1328" Type="http://schemas.openxmlformats.org/officeDocument/2006/relationships/hyperlink" Target="https://ru.investing.com/equities/fleetcor-tech-historical-data" TargetMode="External"/><Relationship Id="rId337" Type="http://schemas.openxmlformats.org/officeDocument/2006/relationships/hyperlink" Target="https://www.moex.com/ru/marketdata/" TargetMode="External"/><Relationship Id="rId891" Type="http://schemas.openxmlformats.org/officeDocument/2006/relationships/hyperlink" Target="https://www.moex.com/ru/marketdata/" TargetMode="External"/><Relationship Id="rId905" Type="http://schemas.openxmlformats.org/officeDocument/2006/relationships/hyperlink" Target="https://www.moex.com/ru/marketdata/" TargetMode="External"/><Relationship Id="rId989" Type="http://schemas.openxmlformats.org/officeDocument/2006/relationships/hyperlink" Target="https://www.moex.com/ru/marketdata/" TargetMode="External"/><Relationship Id="rId34" Type="http://schemas.openxmlformats.org/officeDocument/2006/relationships/hyperlink" Target="https://www.moex.com/ru/marketdata/" TargetMode="External"/><Relationship Id="rId544" Type="http://schemas.openxmlformats.org/officeDocument/2006/relationships/hyperlink" Target="https://ru.investing.com/equities/h---r-block-inc-historical-data" TargetMode="External"/><Relationship Id="rId751" Type="http://schemas.openxmlformats.org/officeDocument/2006/relationships/hyperlink" Target="https://www.moex.com/ru/marketdata/" TargetMode="External"/><Relationship Id="rId849" Type="http://schemas.openxmlformats.org/officeDocument/2006/relationships/hyperlink" Target="https://www.moex.com/ru/marketdata/" TargetMode="External"/><Relationship Id="rId1174" Type="http://schemas.openxmlformats.org/officeDocument/2006/relationships/hyperlink" Target="https://ru.investing.com/equities/us-foods-holding-corp-historical-data" TargetMode="External"/><Relationship Id="rId183" Type="http://schemas.openxmlformats.org/officeDocument/2006/relationships/hyperlink" Target="https://ru.investing.com/equities/seacube-container-leasing-ltd-historical-data" TargetMode="External"/><Relationship Id="rId390" Type="http://schemas.openxmlformats.org/officeDocument/2006/relationships/hyperlink" Target="https://ru.investing.com/equities/dover-corp-historical-data" TargetMode="External"/><Relationship Id="rId404" Type="http://schemas.openxmlformats.org/officeDocument/2006/relationships/hyperlink" Target="https://ru.investing.com/equities/comp-science-historical-data" TargetMode="External"/><Relationship Id="rId611" Type="http://schemas.openxmlformats.org/officeDocument/2006/relationships/hyperlink" Target="https://www.moex.com/ru/marketdata/" TargetMode="External"/><Relationship Id="rId1034" Type="http://schemas.openxmlformats.org/officeDocument/2006/relationships/hyperlink" Target="https://ru.investing.com/equities/sunrun-inc-historical-data" TargetMode="External"/><Relationship Id="rId1241" Type="http://schemas.openxmlformats.org/officeDocument/2006/relationships/hyperlink" Target="https://www.moex.com/ru/marketdata/" TargetMode="External"/><Relationship Id="rId1339" Type="http://schemas.openxmlformats.org/officeDocument/2006/relationships/hyperlink" Target="https://ru.investing.com/etfs/ishares-dow-jones-us-real-est-historical-data" TargetMode="External"/><Relationship Id="rId250" Type="http://schemas.openxmlformats.org/officeDocument/2006/relationships/hyperlink" Target="https://www.moex.com/ru/marketdata/" TargetMode="External"/><Relationship Id="rId488" Type="http://schemas.openxmlformats.org/officeDocument/2006/relationships/hyperlink" Target="https://ru.investing.com/equities/fleetcor-tech-historical-data?cid=1183295" TargetMode="External"/><Relationship Id="rId695" Type="http://schemas.openxmlformats.org/officeDocument/2006/relationships/hyperlink" Target="https://www.moex.com/ru/marketdata/" TargetMode="External"/><Relationship Id="rId709" Type="http://schemas.openxmlformats.org/officeDocument/2006/relationships/hyperlink" Target="https://www.moex.com/ru/marketdata/" TargetMode="External"/><Relationship Id="rId916" Type="http://schemas.openxmlformats.org/officeDocument/2006/relationships/hyperlink" Target="https://ru.investing.com/equities/qorvo-inc-historical-data" TargetMode="External"/><Relationship Id="rId1101" Type="http://schemas.openxmlformats.org/officeDocument/2006/relationships/hyperlink" Target="https://www.moex.com/ru/marketdata/" TargetMode="External"/><Relationship Id="rId45" Type="http://schemas.openxmlformats.org/officeDocument/2006/relationships/hyperlink" Target="https://ru.investing.com/equities/albemarle-historical-data" TargetMode="External"/><Relationship Id="rId110" Type="http://schemas.openxmlformats.org/officeDocument/2006/relationships/hyperlink" Target="https://www.moex.com/ru/marketdata/" TargetMode="External"/><Relationship Id="rId348" Type="http://schemas.openxmlformats.org/officeDocument/2006/relationships/hyperlink" Target="https://ru.investing.com/equities/darling-international-historical-data" TargetMode="External"/><Relationship Id="rId555" Type="http://schemas.openxmlformats.org/officeDocument/2006/relationships/hyperlink" Target="https://www.moex.com/ru/marketdata/" TargetMode="External"/><Relationship Id="rId762" Type="http://schemas.openxmlformats.org/officeDocument/2006/relationships/hyperlink" Target="https://ru.investing.com/equities/molson-coors-historical-data" TargetMode="External"/><Relationship Id="rId1185" Type="http://schemas.openxmlformats.org/officeDocument/2006/relationships/hyperlink" Target="https://www.moex.com/ru/marketdata/" TargetMode="External"/><Relationship Id="rId194" Type="http://schemas.openxmlformats.org/officeDocument/2006/relationships/hyperlink" Target="https://www.moex.com/ru/marketdata/" TargetMode="External"/><Relationship Id="rId208" Type="http://schemas.openxmlformats.org/officeDocument/2006/relationships/hyperlink" Target="https://www.moex.com/ru/marketdata/" TargetMode="External"/><Relationship Id="rId415" Type="http://schemas.openxmlformats.org/officeDocument/2006/relationships/hyperlink" Target="https://www.moex.com/ru/marketdata/" TargetMode="External"/><Relationship Id="rId622" Type="http://schemas.openxmlformats.org/officeDocument/2006/relationships/hyperlink" Target="https://ru.investing.com/equities/ipg-photonics-corp.-historical-data" TargetMode="External"/><Relationship Id="rId1045" Type="http://schemas.openxmlformats.org/officeDocument/2006/relationships/hyperlink" Target="https://www.moex.com/ru/marketdata/" TargetMode="External"/><Relationship Id="rId1252" Type="http://schemas.openxmlformats.org/officeDocument/2006/relationships/hyperlink" Target="https://ru.investing.com/equities/wynn-resorts-ltd-historical-data" TargetMode="External"/><Relationship Id="rId261" Type="http://schemas.openxmlformats.org/officeDocument/2006/relationships/hyperlink" Target="https://ru.investing.com/equities/cinemark-hldg-historical-data" TargetMode="External"/><Relationship Id="rId499" Type="http://schemas.openxmlformats.org/officeDocument/2006/relationships/hyperlink" Target="https://www.moex.com/ru/marketdata/" TargetMode="External"/><Relationship Id="rId927" Type="http://schemas.openxmlformats.org/officeDocument/2006/relationships/hyperlink" Target="https://www.moex.com/ru/marketdata/" TargetMode="External"/><Relationship Id="rId1112" Type="http://schemas.openxmlformats.org/officeDocument/2006/relationships/hyperlink" Target="https://ru.investing.com/equities/disney-historical-data" TargetMode="External"/><Relationship Id="rId56" Type="http://schemas.openxmlformats.org/officeDocument/2006/relationships/hyperlink" Target="https://www.moex.com/ru/marketdata/" TargetMode="External"/><Relationship Id="rId359" Type="http://schemas.openxmlformats.org/officeDocument/2006/relationships/hyperlink" Target="https://www.moex.com/ru/marketdata/" TargetMode="External"/><Relationship Id="rId566" Type="http://schemas.openxmlformats.org/officeDocument/2006/relationships/hyperlink" Target="https://ru.investing.com/equities/hollyfrontier-co-historical-data" TargetMode="External"/><Relationship Id="rId773" Type="http://schemas.openxmlformats.org/officeDocument/2006/relationships/hyperlink" Target="https://www.moex.com/ru/marketdata/" TargetMode="External"/><Relationship Id="rId1196" Type="http://schemas.openxmlformats.org/officeDocument/2006/relationships/hyperlink" Target="https://ru.investing.com/equities/vimeo-historical-data" TargetMode="External"/><Relationship Id="rId121" Type="http://schemas.openxmlformats.org/officeDocument/2006/relationships/hyperlink" Target="https://ru.investing.com/equities/atmos-energy-corp-historical-data" TargetMode="External"/><Relationship Id="rId219" Type="http://schemas.openxmlformats.org/officeDocument/2006/relationships/hyperlink" Target="https://ru.investing.com/equities/pain-therapeutics-historical-data" TargetMode="External"/><Relationship Id="rId426" Type="http://schemas.openxmlformats.org/officeDocument/2006/relationships/hyperlink" Target="https://ru.investing.com/equities/wellpoint-inc-historical-data" TargetMode="External"/><Relationship Id="rId633" Type="http://schemas.openxmlformats.org/officeDocument/2006/relationships/hyperlink" Target="https://www.moex.com/ru/marketdata/" TargetMode="External"/><Relationship Id="rId980" Type="http://schemas.openxmlformats.org/officeDocument/2006/relationships/hyperlink" Target="https://ru.investing.com/equities/sherwinwilliams-historical-data" TargetMode="External"/><Relationship Id="rId1056" Type="http://schemas.openxmlformats.org/officeDocument/2006/relationships/hyperlink" Target="https://ru.investing.com/equities/taylor-morn-home-historical-data" TargetMode="External"/><Relationship Id="rId1263" Type="http://schemas.openxmlformats.org/officeDocument/2006/relationships/hyperlink" Target="https://www.moex.com/ru/marketdata/" TargetMode="External"/><Relationship Id="rId840" Type="http://schemas.openxmlformats.org/officeDocument/2006/relationships/hyperlink" Target="https://ru.investing.com/equities/oreilly-automotive-historical-data" TargetMode="External"/><Relationship Id="rId938" Type="http://schemas.openxmlformats.org/officeDocument/2006/relationships/hyperlink" Target="https://ru.investing.com/equities/regeneron-phar.-historical-data" TargetMode="External"/><Relationship Id="rId67" Type="http://schemas.openxmlformats.org/officeDocument/2006/relationships/hyperlink" Target="https://ru.investing.com/equities/amc-entertat-hld-historical-data" TargetMode="External"/><Relationship Id="rId272" Type="http://schemas.openxmlformats.org/officeDocument/2006/relationships/hyperlink" Target="https://www.moex.com/ru/marketdata/" TargetMode="External"/><Relationship Id="rId577" Type="http://schemas.openxmlformats.org/officeDocument/2006/relationships/hyperlink" Target="https://www.moex.com/ru/marketdata/" TargetMode="External"/><Relationship Id="rId700" Type="http://schemas.openxmlformats.org/officeDocument/2006/relationships/hyperlink" Target="https://ru.investing.com/equities/centurylink-historical-data" TargetMode="External"/><Relationship Id="rId1123" Type="http://schemas.openxmlformats.org/officeDocument/2006/relationships/hyperlink" Target="https://www.moex.com/ru/marketdata/" TargetMode="External"/><Relationship Id="rId1330" Type="http://schemas.openxmlformats.org/officeDocument/2006/relationships/hyperlink" Target="https://ru.investing.com/etfs/financial-select-sector-spdr-fund-historical-data" TargetMode="External"/><Relationship Id="rId132" Type="http://schemas.openxmlformats.org/officeDocument/2006/relationships/hyperlink" Target="https://www.moex.com/ru/marketdata/" TargetMode="External"/><Relationship Id="rId784" Type="http://schemas.openxmlformats.org/officeDocument/2006/relationships/hyperlink" Target="https://ru.investing.com/equities/ncr-corp-historical-data" TargetMode="External"/><Relationship Id="rId991" Type="http://schemas.openxmlformats.org/officeDocument/2006/relationships/hyperlink" Target="https://www.moex.com/ru/marketdata/" TargetMode="External"/><Relationship Id="rId1067" Type="http://schemas.openxmlformats.org/officeDocument/2006/relationships/hyperlink" Target="https://www.moex.com/ru/marketdata/" TargetMode="External"/><Relationship Id="rId437" Type="http://schemas.openxmlformats.org/officeDocument/2006/relationships/hyperlink" Target="https://www.moex.com/ru/marketdata/" TargetMode="External"/><Relationship Id="rId644" Type="http://schemas.openxmlformats.org/officeDocument/2006/relationships/hyperlink" Target="https://ru.investing.com/equities/kellogg-co.-historical-data" TargetMode="External"/><Relationship Id="rId851" Type="http://schemas.openxmlformats.org/officeDocument/2006/relationships/hyperlink" Target="https://www.moex.com/ru/marketdata/" TargetMode="External"/><Relationship Id="rId1274" Type="http://schemas.openxmlformats.org/officeDocument/2006/relationships/hyperlink" Target="https://ru.investing.com/equities/zillow-historical-data" TargetMode="External"/><Relationship Id="rId283" Type="http://schemas.openxmlformats.org/officeDocument/2006/relationships/hyperlink" Target="https://ru.investing.com/equities/cme-group-inc.-historical-data" TargetMode="External"/><Relationship Id="rId490" Type="http://schemas.openxmlformats.org/officeDocument/2006/relationships/hyperlink" Target="https://ru.investing.com/equities/flowers-foods-historical-data" TargetMode="External"/><Relationship Id="rId504" Type="http://schemas.openxmlformats.org/officeDocument/2006/relationships/hyperlink" Target="https://ru.investing.com/equities/fortune-brands-home---security-historical-data" TargetMode="External"/><Relationship Id="rId711" Type="http://schemas.openxmlformats.org/officeDocument/2006/relationships/hyperlink" Target="https://www.moex.com/ru/marketdata/" TargetMode="External"/><Relationship Id="rId949" Type="http://schemas.openxmlformats.org/officeDocument/2006/relationships/hyperlink" Target="https://www.moex.com/ru/marketdata/" TargetMode="External"/><Relationship Id="rId1134" Type="http://schemas.openxmlformats.org/officeDocument/2006/relationships/hyperlink" Target="https://ru.investing.com/equities/tusimple-holdings-historical-data" TargetMode="External"/><Relationship Id="rId1341" Type="http://schemas.openxmlformats.org/officeDocument/2006/relationships/hyperlink" Target="https://ru.investing.com/etfs/proshares-online-retail-historical-data" TargetMode="External"/><Relationship Id="rId78" Type="http://schemas.openxmlformats.org/officeDocument/2006/relationships/hyperlink" Target="https://www.moex.com/ru/marketdata/" TargetMode="External"/><Relationship Id="rId143" Type="http://schemas.openxmlformats.org/officeDocument/2006/relationships/hyperlink" Target="https://ru.investing.com/equities/baxter-intl-historical-data" TargetMode="External"/><Relationship Id="rId350" Type="http://schemas.openxmlformats.org/officeDocument/2006/relationships/hyperlink" Target="https://ru.investing.com/equities/datadog-inc-historical-data" TargetMode="External"/><Relationship Id="rId588" Type="http://schemas.openxmlformats.org/officeDocument/2006/relationships/hyperlink" Target="https://ru.investing.com/equities/idexx-laboratorie-historical-data" TargetMode="External"/><Relationship Id="rId795" Type="http://schemas.openxmlformats.org/officeDocument/2006/relationships/hyperlink" Target="https://www.moex.com/ru/marketdata/" TargetMode="External"/><Relationship Id="rId809" Type="http://schemas.openxmlformats.org/officeDocument/2006/relationships/hyperlink" Target="https://www.moex.com/ru/marketdata/" TargetMode="External"/><Relationship Id="rId1201" Type="http://schemas.openxmlformats.org/officeDocument/2006/relationships/hyperlink" Target="https://www.moex.com/ru/marketdata/" TargetMode="External"/><Relationship Id="rId9" Type="http://schemas.openxmlformats.org/officeDocument/2006/relationships/hyperlink" Target="https://ru.investing.com/equities/8x8-inc-historical-data" TargetMode="External"/><Relationship Id="rId210" Type="http://schemas.openxmlformats.org/officeDocument/2006/relationships/hyperlink" Target="https://www.moex.com/ru/marketdata/" TargetMode="External"/><Relationship Id="rId448" Type="http://schemas.openxmlformats.org/officeDocument/2006/relationships/hyperlink" Target="https://ru.investing.com/equities/westar-energy-historical-data" TargetMode="External"/><Relationship Id="rId655" Type="http://schemas.openxmlformats.org/officeDocument/2006/relationships/hyperlink" Target="https://www.moex.com/ru/marketdata/" TargetMode="External"/><Relationship Id="rId862" Type="http://schemas.openxmlformats.org/officeDocument/2006/relationships/hyperlink" Target="https://ru.investing.com/equities/paypal-holdings-inc-historical-data" TargetMode="External"/><Relationship Id="rId1078" Type="http://schemas.openxmlformats.org/officeDocument/2006/relationships/hyperlink" Target="https://ru.investing.com/equities/aes-corp-historical-data" TargetMode="External"/><Relationship Id="rId1285" Type="http://schemas.openxmlformats.org/officeDocument/2006/relationships/hyperlink" Target="https://www.moex.com/ru/marketdata/" TargetMode="External"/><Relationship Id="rId294" Type="http://schemas.openxmlformats.org/officeDocument/2006/relationships/hyperlink" Target="https://www.moex.com/ru/marketdata/" TargetMode="External"/><Relationship Id="rId308" Type="http://schemas.openxmlformats.org/officeDocument/2006/relationships/hyperlink" Target="https://ru.investing.com/equities/contextlogic-historical-data" TargetMode="External"/><Relationship Id="rId515" Type="http://schemas.openxmlformats.org/officeDocument/2006/relationships/hyperlink" Target="https://www.moex.com/ru/marketdata/" TargetMode="External"/><Relationship Id="rId722" Type="http://schemas.openxmlformats.org/officeDocument/2006/relationships/hyperlink" Target="https://ru.investing.com/equities/martin-marietta-materials-inc-historical-data" TargetMode="External"/><Relationship Id="rId1145" Type="http://schemas.openxmlformats.org/officeDocument/2006/relationships/hyperlink" Target="https://www.moex.com/ru/marketdata/" TargetMode="External"/><Relationship Id="rId1352" Type="http://schemas.openxmlformats.org/officeDocument/2006/relationships/hyperlink" Target="https://www.moex.com/ru/marketdata/" TargetMode="External"/><Relationship Id="rId89" Type="http://schemas.openxmlformats.org/officeDocument/2006/relationships/hyperlink" Target="https://ru.investing.com/equities/amphenol-corp-historical-data" TargetMode="External"/><Relationship Id="rId154" Type="http://schemas.openxmlformats.org/officeDocument/2006/relationships/hyperlink" Target="https://www.moex.com/ru/marketdata/" TargetMode="External"/><Relationship Id="rId361" Type="http://schemas.openxmlformats.org/officeDocument/2006/relationships/hyperlink" Target="https://www.moex.com/ru/marketdata/" TargetMode="External"/><Relationship Id="rId599" Type="http://schemas.openxmlformats.org/officeDocument/2006/relationships/hyperlink" Target="https://www.moex.com/ru/marketdata/" TargetMode="External"/><Relationship Id="rId1005" Type="http://schemas.openxmlformats.org/officeDocument/2006/relationships/hyperlink" Target="https://www.moex.com/ru/marketdata/" TargetMode="External"/><Relationship Id="rId1212" Type="http://schemas.openxmlformats.org/officeDocument/2006/relationships/hyperlink" Target="https://ru.investing.com/equities/wr-berkley-corp-historical-data" TargetMode="External"/><Relationship Id="rId459" Type="http://schemas.openxmlformats.org/officeDocument/2006/relationships/hyperlink" Target="https://www.moex.com/ru/marketdata/" TargetMode="External"/><Relationship Id="rId666" Type="http://schemas.openxmlformats.org/officeDocument/2006/relationships/hyperlink" Target="https://ru.investing.com/equities/kyndryl-holdings-historical-data" TargetMode="External"/><Relationship Id="rId873" Type="http://schemas.openxmlformats.org/officeDocument/2006/relationships/hyperlink" Target="https://www.moex.com/ru/marketdata/" TargetMode="External"/><Relationship Id="rId1089" Type="http://schemas.openxmlformats.org/officeDocument/2006/relationships/hyperlink" Target="https://www.moex.com/ru/marketdata/" TargetMode="External"/><Relationship Id="rId1296" Type="http://schemas.openxmlformats.org/officeDocument/2006/relationships/hyperlink" Target="https://ru.investing.com/equities/bilibili-inc-historical-data" TargetMode="External"/><Relationship Id="rId16" Type="http://schemas.openxmlformats.org/officeDocument/2006/relationships/hyperlink" Target="https://www.moex.com/ru/marketdata/" TargetMode="External"/><Relationship Id="rId221" Type="http://schemas.openxmlformats.org/officeDocument/2006/relationships/hyperlink" Target="https://ru.investing.com/equities/catalent-inc?ysclid=mhc2qippaj607108725" TargetMode="External"/><Relationship Id="rId319" Type="http://schemas.openxmlformats.org/officeDocument/2006/relationships/hyperlink" Target="https://www.moex.com/ru/marketdata/" TargetMode="External"/><Relationship Id="rId526" Type="http://schemas.openxmlformats.org/officeDocument/2006/relationships/hyperlink" Target="https://ru.investing.com/equities/general-mills-historical-data" TargetMode="External"/><Relationship Id="rId1156" Type="http://schemas.openxmlformats.org/officeDocument/2006/relationships/hyperlink" Target="https://ru.investing.com/equities/united-continenta-historical-data" TargetMode="External"/><Relationship Id="rId1363" Type="http://schemas.openxmlformats.org/officeDocument/2006/relationships/hyperlink" Target="https://www.moex.com/ru/marketdata/" TargetMode="External"/><Relationship Id="rId733" Type="http://schemas.openxmlformats.org/officeDocument/2006/relationships/hyperlink" Target="https://www.moex.com/ru/marketdata/" TargetMode="External"/><Relationship Id="rId940" Type="http://schemas.openxmlformats.org/officeDocument/2006/relationships/hyperlink" Target="https://ru.investing.com/equities/regions-fin-historical-data" TargetMode="External"/><Relationship Id="rId1016" Type="http://schemas.openxmlformats.org/officeDocument/2006/relationships/hyperlink" Target="https://ru.investing.com/equities/splunk-inc-historical-data" TargetMode="External"/><Relationship Id="rId165" Type="http://schemas.openxmlformats.org/officeDocument/2006/relationships/hyperlink" Target="https://ru.investing.com/equities/blackrock,-inc.-c-historical-data?cid=1174106" TargetMode="External"/><Relationship Id="rId372" Type="http://schemas.openxmlformats.org/officeDocument/2006/relationships/hyperlink" Target="https://ru.investing.com/equities/mandalay-digital-group-inc-historical-data" TargetMode="External"/><Relationship Id="rId677" Type="http://schemas.openxmlformats.org/officeDocument/2006/relationships/hyperlink" Target="https://www.moex.com/ru/marketdata/" TargetMode="External"/><Relationship Id="rId800" Type="http://schemas.openxmlformats.org/officeDocument/2006/relationships/hyperlink" Target="https://ru.investing.com/equities/ni-source-inc-historical-data" TargetMode="External"/><Relationship Id="rId1223" Type="http://schemas.openxmlformats.org/officeDocument/2006/relationships/hyperlink" Target="https://www.moex.com/ru/marketdata/" TargetMode="External"/><Relationship Id="rId232" Type="http://schemas.openxmlformats.org/officeDocument/2006/relationships/hyperlink" Target="https://www.moex.com/ru/marketdata/" TargetMode="External"/><Relationship Id="rId884" Type="http://schemas.openxmlformats.org/officeDocument/2006/relationships/hyperlink" Target="https://ru.investing.com/equities/pinterest-inc-historical-data" TargetMode="External"/><Relationship Id="rId27" Type="http://schemas.openxmlformats.org/officeDocument/2006/relationships/hyperlink" Target="https://ru.investing.com/equities/adobe-sys-inc-historical-data" TargetMode="External"/><Relationship Id="rId537" Type="http://schemas.openxmlformats.org/officeDocument/2006/relationships/hyperlink" Target="https://www.moex.com/ru/marketdata/" TargetMode="External"/><Relationship Id="rId744" Type="http://schemas.openxmlformats.org/officeDocument/2006/relationships/hyperlink" Target="https://ru.investing.com/equities/mgic-inv-historical-data" TargetMode="External"/><Relationship Id="rId951" Type="http://schemas.openxmlformats.org/officeDocument/2006/relationships/hyperlink" Target="https://www.moex.com/ru/marketdata/" TargetMode="External"/><Relationship Id="rId1167" Type="http://schemas.openxmlformats.org/officeDocument/2006/relationships/hyperlink" Target="https://www.moex.com/ru/marketdata/" TargetMode="External"/><Relationship Id="rId1374" Type="http://schemas.openxmlformats.org/officeDocument/2006/relationships/hyperlink" Target="https://ru.investing.com/equities/viacom-cl-b-historical-data" TargetMode="External"/><Relationship Id="rId80" Type="http://schemas.openxmlformats.org/officeDocument/2006/relationships/hyperlink" Target="https://www.moex.com/ru/marketdata/" TargetMode="External"/><Relationship Id="rId176" Type="http://schemas.openxmlformats.org/officeDocument/2006/relationships/hyperlink" Target="https://www.moex.com/ru/marketdata/" TargetMode="External"/><Relationship Id="rId383" Type="http://schemas.openxmlformats.org/officeDocument/2006/relationships/hyperlink" Target="https://www.moex.com/ru/marketdata/" TargetMode="External"/><Relationship Id="rId590" Type="http://schemas.openxmlformats.org/officeDocument/2006/relationships/hyperlink" Target="https://ru.investing.com/equities/illinois-tool-wk-r-historical-data" TargetMode="External"/><Relationship Id="rId604" Type="http://schemas.openxmlformats.org/officeDocument/2006/relationships/hyperlink" Target="https://ru.investing.com/equities/intl-flav---frag-historical-data" TargetMode="External"/><Relationship Id="rId811" Type="http://schemas.openxmlformats.org/officeDocument/2006/relationships/hyperlink" Target="https://www.moex.com/ru/marketdata/" TargetMode="External"/><Relationship Id="rId1027" Type="http://schemas.openxmlformats.org/officeDocument/2006/relationships/hyperlink" Target="https://www.moex.com/ru/marketdata/" TargetMode="External"/><Relationship Id="rId1234" Type="http://schemas.openxmlformats.org/officeDocument/2006/relationships/hyperlink" Target="https://ru.investing.com/equities/western-digital-historical-data" TargetMode="External"/><Relationship Id="rId243" Type="http://schemas.openxmlformats.org/officeDocument/2006/relationships/hyperlink" Target="https://ru.investing.com/equities/charter-communications-historical-data" TargetMode="External"/><Relationship Id="rId450" Type="http://schemas.openxmlformats.org/officeDocument/2006/relationships/hyperlink" Target="https://ru.investing.com/equities/northeast-utilities-historical-data" TargetMode="External"/><Relationship Id="rId688" Type="http://schemas.openxmlformats.org/officeDocument/2006/relationships/hyperlink" Target="https://ru.investing.com/equities/lkq-historical-data" TargetMode="External"/><Relationship Id="rId895" Type="http://schemas.openxmlformats.org/officeDocument/2006/relationships/hyperlink" Target="https://www.moex.com/ru/marketdata/" TargetMode="External"/><Relationship Id="rId909" Type="http://schemas.openxmlformats.org/officeDocument/2006/relationships/hyperlink" Target="https://www.moex.com/ru/marketdata/" TargetMode="External"/><Relationship Id="rId1080" Type="http://schemas.openxmlformats.org/officeDocument/2006/relationships/hyperlink" Target="https://ru.investing.com/equities/bk-of-ny-historical-data" TargetMode="External"/><Relationship Id="rId1301" Type="http://schemas.openxmlformats.org/officeDocument/2006/relationships/hyperlink" Target="https://www.moex.com/ru/marketdata/" TargetMode="External"/><Relationship Id="rId38" Type="http://schemas.openxmlformats.org/officeDocument/2006/relationships/hyperlink" Target="https://www.moex.com/ru/marketdata/" TargetMode="External"/><Relationship Id="rId103" Type="http://schemas.openxmlformats.org/officeDocument/2006/relationships/hyperlink" Target="https://ru.investing.com/equities/apple-computer-inc-historical-data" TargetMode="External"/><Relationship Id="rId310" Type="http://schemas.openxmlformats.org/officeDocument/2006/relationships/hyperlink" Target="https://ru.investing.com/equities/continental-resources-inc-historical-data" TargetMode="External"/><Relationship Id="rId548" Type="http://schemas.openxmlformats.org/officeDocument/2006/relationships/hyperlink" Target="https://ru.investing.com/equities/hanesbrands-historical-data" TargetMode="External"/><Relationship Id="rId755" Type="http://schemas.openxmlformats.org/officeDocument/2006/relationships/hyperlink" Target="https://www.moex.com/ru/marketdata/" TargetMode="External"/><Relationship Id="rId962" Type="http://schemas.openxmlformats.org/officeDocument/2006/relationships/hyperlink" Target="https://ru.investing.com/equities/ross-stores-inc-historical-data" TargetMode="External"/><Relationship Id="rId1178" Type="http://schemas.openxmlformats.org/officeDocument/2006/relationships/hyperlink" Target="https://ru.investing.com/equities/nabi-pharmaceuticals-historical-data" TargetMode="External"/><Relationship Id="rId91" Type="http://schemas.openxmlformats.org/officeDocument/2006/relationships/hyperlink" Target="https://ru.investing.com/equities/analog-devices-historical-data" TargetMode="External"/><Relationship Id="rId187" Type="http://schemas.openxmlformats.org/officeDocument/2006/relationships/hyperlink" Target="https://ru.investing.com/equities/avago-technologies-historical-data" TargetMode="External"/><Relationship Id="rId394" Type="http://schemas.openxmlformats.org/officeDocument/2006/relationships/hyperlink" Target="https://ru.investing.com/equities/doximity-historical-data" TargetMode="External"/><Relationship Id="rId408" Type="http://schemas.openxmlformats.org/officeDocument/2006/relationships/hyperlink" Target="https://ru.investing.com/equities/eastman-chem-historical-data" TargetMode="External"/><Relationship Id="rId615" Type="http://schemas.openxmlformats.org/officeDocument/2006/relationships/hyperlink" Target="https://www.moex.com/ru/marketdata/" TargetMode="External"/><Relationship Id="rId822" Type="http://schemas.openxmlformats.org/officeDocument/2006/relationships/hyperlink" Target="https://ru.investing.com/equities/oge-energy-historical-data" TargetMode="External"/><Relationship Id="rId1038" Type="http://schemas.openxmlformats.org/officeDocument/2006/relationships/hyperlink" Target="https://ru.investing.com/equities/switch-historical-data" TargetMode="External"/><Relationship Id="rId1245" Type="http://schemas.openxmlformats.org/officeDocument/2006/relationships/hyperlink" Target="https://www.moex.com/ru/marketdata/" TargetMode="External"/><Relationship Id="rId254" Type="http://schemas.openxmlformats.org/officeDocument/2006/relationships/hyperlink" Target="https://www.moex.com/ru/marketdata/" TargetMode="External"/><Relationship Id="rId699" Type="http://schemas.openxmlformats.org/officeDocument/2006/relationships/hyperlink" Target="https://www.moex.com/ru/marketdata/" TargetMode="External"/><Relationship Id="rId1091" Type="http://schemas.openxmlformats.org/officeDocument/2006/relationships/hyperlink" Target="https://www.moex.com/ru/marketdata/" TargetMode="External"/><Relationship Id="rId1105" Type="http://schemas.openxmlformats.org/officeDocument/2006/relationships/hyperlink" Target="https://www.moex.com/ru/marketdata/" TargetMode="External"/><Relationship Id="rId1312" Type="http://schemas.openxmlformats.org/officeDocument/2006/relationships/hyperlink" Target="https://ru.investing.com/equities/sony-historical-data" TargetMode="External"/><Relationship Id="rId49" Type="http://schemas.openxmlformats.org/officeDocument/2006/relationships/hyperlink" Target="https://ru.investing.com/equities/align-technology-historical-data" TargetMode="External"/><Relationship Id="rId114" Type="http://schemas.openxmlformats.org/officeDocument/2006/relationships/hyperlink" Target="https://www.moex.com/ru/marketdata/" TargetMode="External"/><Relationship Id="rId461" Type="http://schemas.openxmlformats.org/officeDocument/2006/relationships/hyperlink" Target="https://www.moex.com/ru/marketdata/" TargetMode="External"/><Relationship Id="rId559" Type="http://schemas.openxmlformats.org/officeDocument/2006/relationships/hyperlink" Target="https://www.moex.com/ru/marketdata/" TargetMode="External"/><Relationship Id="rId766" Type="http://schemas.openxmlformats.org/officeDocument/2006/relationships/hyperlink" Target="https://ru.investing.com/equities/monolithic-power-historical-data" TargetMode="External"/><Relationship Id="rId1189" Type="http://schemas.openxmlformats.org/officeDocument/2006/relationships/hyperlink" Target="https://www.moex.com/ru/marketdata/" TargetMode="External"/><Relationship Id="rId198" Type="http://schemas.openxmlformats.org/officeDocument/2006/relationships/hyperlink" Target="https://www.moex.com/ru/marketdata/" TargetMode="External"/><Relationship Id="rId321" Type="http://schemas.openxmlformats.org/officeDocument/2006/relationships/hyperlink" Target="https://www.moex.com/ru/marketdata/" TargetMode="External"/><Relationship Id="rId419" Type="http://schemas.openxmlformats.org/officeDocument/2006/relationships/hyperlink" Target="https://www.moex.com/ru/marketdata/" TargetMode="External"/><Relationship Id="rId626" Type="http://schemas.openxmlformats.org/officeDocument/2006/relationships/hyperlink" Target="https://ru.investing.com/equities/jm-smucker-co-historical-data" TargetMode="External"/><Relationship Id="rId973" Type="http://schemas.openxmlformats.org/officeDocument/2006/relationships/hyperlink" Target="https://www.moex.com/ru/marketdata/" TargetMode="External"/><Relationship Id="rId1049" Type="http://schemas.openxmlformats.org/officeDocument/2006/relationships/hyperlink" Target="https://www.moex.com/ru/marketdata/" TargetMode="External"/><Relationship Id="rId1256" Type="http://schemas.openxmlformats.org/officeDocument/2006/relationships/hyperlink" Target="https://ru.investing.com/equities/xerox-corp-historical-data" TargetMode="External"/><Relationship Id="rId833" Type="http://schemas.openxmlformats.org/officeDocument/2006/relationships/hyperlink" Target="https://www.moex.com/ru/marketdata/" TargetMode="External"/><Relationship Id="rId1116" Type="http://schemas.openxmlformats.org/officeDocument/2006/relationships/hyperlink" Target="https://ru.investing.com/equities/thermo-fisher-sc-historical-data" TargetMode="External"/><Relationship Id="rId265" Type="http://schemas.openxmlformats.org/officeDocument/2006/relationships/hyperlink" Target="https://ru.investing.com/equities/cisco-sys-inc-historical-data" TargetMode="External"/><Relationship Id="rId472" Type="http://schemas.openxmlformats.org/officeDocument/2006/relationships/hyperlink" Target="https://ru.investing.com/equities/fibrogen-inc-historical-data" TargetMode="External"/><Relationship Id="rId900" Type="http://schemas.openxmlformats.org/officeDocument/2006/relationships/hyperlink" Target="https://ru.investing.com/equities/ppl-corp-historical-data" TargetMode="External"/><Relationship Id="rId1323" Type="http://schemas.openxmlformats.org/officeDocument/2006/relationships/hyperlink" Target="https://www.moex.com/ru/marketdata/" TargetMode="External"/><Relationship Id="rId125" Type="http://schemas.openxmlformats.org/officeDocument/2006/relationships/hyperlink" Target="https://ru.investing.com/equities/auto-data-process-historical-data" TargetMode="External"/><Relationship Id="rId332" Type="http://schemas.openxmlformats.org/officeDocument/2006/relationships/hyperlink" Target="https://ru.investing.com/equities/crocs-historical-data" TargetMode="External"/><Relationship Id="rId777" Type="http://schemas.openxmlformats.org/officeDocument/2006/relationships/hyperlink" Target="https://www.moex.com/ru/marketdata/" TargetMode="External"/><Relationship Id="rId984" Type="http://schemas.openxmlformats.org/officeDocument/2006/relationships/hyperlink" Target="https://ru.investing.com/equities/silvergate-capital-corp-historical-data" TargetMode="External"/><Relationship Id="rId637" Type="http://schemas.openxmlformats.org/officeDocument/2006/relationships/hyperlink" Target="https://www.moex.com/ru/marketdata/" TargetMode="External"/><Relationship Id="rId844" Type="http://schemas.openxmlformats.org/officeDocument/2006/relationships/hyperlink" Target="https://ru.investing.com/equities/otis-worldwide-corp-historical-data" TargetMode="External"/><Relationship Id="rId1267" Type="http://schemas.openxmlformats.org/officeDocument/2006/relationships/hyperlink" Target="https://www.moex.com/ru/marketdata/" TargetMode="External"/><Relationship Id="rId276" Type="http://schemas.openxmlformats.org/officeDocument/2006/relationships/hyperlink" Target="https://www.moex.com/ru/marketdata/" TargetMode="External"/><Relationship Id="rId483" Type="http://schemas.openxmlformats.org/officeDocument/2006/relationships/hyperlink" Target="https://www.moex.com/ru/marketdata/" TargetMode="External"/><Relationship Id="rId690" Type="http://schemas.openxmlformats.org/officeDocument/2006/relationships/hyperlink" Target="https://ru.investing.com/equities/loews-corporation-historical-data" TargetMode="External"/><Relationship Id="rId704" Type="http://schemas.openxmlformats.org/officeDocument/2006/relationships/hyperlink" Target="https://ru.investing.com/equities/lyft-historical-data" TargetMode="External"/><Relationship Id="rId911" Type="http://schemas.openxmlformats.org/officeDocument/2006/relationships/hyperlink" Target="https://www.moex.com/ru/marketdata/" TargetMode="External"/><Relationship Id="rId1127" Type="http://schemas.openxmlformats.org/officeDocument/2006/relationships/hyperlink" Target="https://www.moex.com/ru/marketdata/" TargetMode="External"/><Relationship Id="rId1334" Type="http://schemas.openxmlformats.org/officeDocument/2006/relationships/hyperlink" Target="https://ru.investing.com/etfs/ishares-s-p-global-clean-energy-historical-data" TargetMode="External"/><Relationship Id="rId40" Type="http://schemas.openxmlformats.org/officeDocument/2006/relationships/hyperlink" Target="https://www.moex.com/ru/marketdata/" TargetMode="External"/><Relationship Id="rId136" Type="http://schemas.openxmlformats.org/officeDocument/2006/relationships/hyperlink" Target="https://www.moex.com/ru/marketdata/" TargetMode="External"/><Relationship Id="rId343" Type="http://schemas.openxmlformats.org/officeDocument/2006/relationships/hyperlink" Target="https://www.moex.com/ru/marketdata/" TargetMode="External"/><Relationship Id="rId550" Type="http://schemas.openxmlformats.org/officeDocument/2006/relationships/hyperlink" Target="https://ru.investing.com/equities/harley-davidson-historical-data" TargetMode="External"/><Relationship Id="rId788" Type="http://schemas.openxmlformats.org/officeDocument/2006/relationships/hyperlink" Target="https://ru.investing.com/equities/netflix,-inc.-historical-data" TargetMode="External"/><Relationship Id="rId995" Type="http://schemas.openxmlformats.org/officeDocument/2006/relationships/hyperlink" Target="https://www.moex.com/ru/marketdata/" TargetMode="External"/><Relationship Id="rId1180" Type="http://schemas.openxmlformats.org/officeDocument/2006/relationships/hyperlink" Target="https://ru.investing.com/equities/graf-industrial-corp-historical-data" TargetMode="External"/><Relationship Id="rId203" Type="http://schemas.openxmlformats.org/officeDocument/2006/relationships/hyperlink" Target="https://ru.investing.com/equities/capital-one-historical-data" TargetMode="External"/><Relationship Id="rId648" Type="http://schemas.openxmlformats.org/officeDocument/2006/relationships/hyperlink" Target="https://ru.investing.com/equities/keycorp-new-historical-data" TargetMode="External"/><Relationship Id="rId855" Type="http://schemas.openxmlformats.org/officeDocument/2006/relationships/hyperlink" Target="https://www.moex.com/ru/marketdata/" TargetMode="External"/><Relationship Id="rId1040" Type="http://schemas.openxmlformats.org/officeDocument/2006/relationships/hyperlink" Target="https://ru.investing.com/equities/synchrony-fin-historical-data" TargetMode="External"/><Relationship Id="rId1278" Type="http://schemas.openxmlformats.org/officeDocument/2006/relationships/hyperlink" Target="https://ru.investing.com/equities/zions-bancorp-historical-data" TargetMode="External"/><Relationship Id="rId287" Type="http://schemas.openxmlformats.org/officeDocument/2006/relationships/hyperlink" Target="https://ru.investing.com/equities/consol-energy-historical-data" TargetMode="External"/><Relationship Id="rId410" Type="http://schemas.openxmlformats.org/officeDocument/2006/relationships/hyperlink" Target="https://ru.investing.com/equities/ebay-inc-historical-data" TargetMode="External"/><Relationship Id="rId494" Type="http://schemas.openxmlformats.org/officeDocument/2006/relationships/hyperlink" Target="https://ru.investing.com/equities/fmc-corp-historical-data" TargetMode="External"/><Relationship Id="rId508" Type="http://schemas.openxmlformats.org/officeDocument/2006/relationships/hyperlink" Target="https://ru.investing.com/equities/franklin-res-historical-data" TargetMode="External"/><Relationship Id="rId715" Type="http://schemas.openxmlformats.org/officeDocument/2006/relationships/hyperlink" Target="https://www.moex.com/ru/marketdata/" TargetMode="External"/><Relationship Id="rId922" Type="http://schemas.openxmlformats.org/officeDocument/2006/relationships/hyperlink" Target="https://ru.investing.com/equities/quanta-services-historical-data" TargetMode="External"/><Relationship Id="rId1138" Type="http://schemas.openxmlformats.org/officeDocument/2006/relationships/hyperlink" Target="https://ru.investing.com/equities/twitter-inc-historical-data" TargetMode="External"/><Relationship Id="rId1345" Type="http://schemas.openxmlformats.org/officeDocument/2006/relationships/hyperlink" Target="https://ru.investing.com/etfs/us-global-jets-historical-data" TargetMode="External"/><Relationship Id="rId147" Type="http://schemas.openxmlformats.org/officeDocument/2006/relationships/hyperlink" Target="https://ru.investing.com/equities/bed-bath---beyond-inc-historical-data" TargetMode="External"/><Relationship Id="rId354" Type="http://schemas.openxmlformats.org/officeDocument/2006/relationships/hyperlink" Target="https://ru.investing.com/equities/davita-inc-historical-data" TargetMode="External"/><Relationship Id="rId799" Type="http://schemas.openxmlformats.org/officeDocument/2006/relationships/hyperlink" Target="https://www.moex.com/ru/marketdata/" TargetMode="External"/><Relationship Id="rId1191" Type="http://schemas.openxmlformats.org/officeDocument/2006/relationships/hyperlink" Target="https://www.moex.com/ru/marketdata/" TargetMode="External"/><Relationship Id="rId1205" Type="http://schemas.openxmlformats.org/officeDocument/2006/relationships/hyperlink" Target="https://www.moex.com/ru/marketdata/" TargetMode="External"/><Relationship Id="rId51" Type="http://schemas.openxmlformats.org/officeDocument/2006/relationships/hyperlink" Target="https://ru.investing.com/equities/alliant-energy-historical-data" TargetMode="External"/><Relationship Id="rId561" Type="http://schemas.openxmlformats.org/officeDocument/2006/relationships/hyperlink" Target="https://www.moex.com/ru/marketdata/" TargetMode="External"/><Relationship Id="rId659" Type="http://schemas.openxmlformats.org/officeDocument/2006/relationships/hyperlink" Target="https://www.moex.com/ru/marketdata/" TargetMode="External"/><Relationship Id="rId866" Type="http://schemas.openxmlformats.org/officeDocument/2006/relationships/hyperlink" Target="https://ru.investing.com/equities/peloton-interactive-inc-historical-data" TargetMode="External"/><Relationship Id="rId1289" Type="http://schemas.openxmlformats.org/officeDocument/2006/relationships/hyperlink" Target="https://www.moex.com/ru/marketdata/" TargetMode="External"/><Relationship Id="rId214" Type="http://schemas.openxmlformats.org/officeDocument/2006/relationships/hyperlink" Target="https://www.moex.com/ru/marketdata/" TargetMode="External"/><Relationship Id="rId298" Type="http://schemas.openxmlformats.org/officeDocument/2006/relationships/hyperlink" Target="https://www.moex.com/ru/marketdata/" TargetMode="External"/><Relationship Id="rId421" Type="http://schemas.openxmlformats.org/officeDocument/2006/relationships/hyperlink" Target="https://www.moex.com/ru/marketdata/" TargetMode="External"/><Relationship Id="rId519" Type="http://schemas.openxmlformats.org/officeDocument/2006/relationships/hyperlink" Target="https://www.moex.com/ru/marketdata/" TargetMode="External"/><Relationship Id="rId1051" Type="http://schemas.openxmlformats.org/officeDocument/2006/relationships/hyperlink" Target="https://www.moex.com/ru/marketdata/" TargetMode="External"/><Relationship Id="rId1149" Type="http://schemas.openxmlformats.org/officeDocument/2006/relationships/hyperlink" Target="https://www.moex.com/ru/marketdata/" TargetMode="External"/><Relationship Id="rId1356" Type="http://schemas.openxmlformats.org/officeDocument/2006/relationships/hyperlink" Target="https://www.moex.com/ru/marketdata/" TargetMode="External"/><Relationship Id="rId158" Type="http://schemas.openxmlformats.org/officeDocument/2006/relationships/hyperlink" Target="https://www.moex.com/ru/marketdata/" TargetMode="External"/><Relationship Id="rId726" Type="http://schemas.openxmlformats.org/officeDocument/2006/relationships/hyperlink" Target="https://ru.investing.com/equities/mastercard-cl-a-historical-data" TargetMode="External"/><Relationship Id="rId933" Type="http://schemas.openxmlformats.org/officeDocument/2006/relationships/hyperlink" Target="https://www.moex.com/ru/marketdata/" TargetMode="External"/><Relationship Id="rId1009" Type="http://schemas.openxmlformats.org/officeDocument/2006/relationships/hyperlink" Target="https://www.moex.com/ru/marketdata/" TargetMode="External"/><Relationship Id="rId62" Type="http://schemas.openxmlformats.org/officeDocument/2006/relationships/hyperlink" Target="https://www.moex.com/ru/marketdata/" TargetMode="External"/><Relationship Id="rId365" Type="http://schemas.openxmlformats.org/officeDocument/2006/relationships/hyperlink" Target="https://www.moex.com/ru/marketdata/" TargetMode="External"/><Relationship Id="rId572" Type="http://schemas.openxmlformats.org/officeDocument/2006/relationships/hyperlink" Target="https://ru.investing.com/equities/gores-holdings-inc-historical-data" TargetMode="External"/><Relationship Id="rId1216" Type="http://schemas.openxmlformats.org/officeDocument/2006/relationships/hyperlink" Target="https://ru.investing.com/equities/walgreen-co-historical-data" TargetMode="External"/><Relationship Id="rId225" Type="http://schemas.openxmlformats.org/officeDocument/2006/relationships/hyperlink" Target="https://ru.investing.com/equities/celanese-historical-data" TargetMode="External"/><Relationship Id="rId432" Type="http://schemas.openxmlformats.org/officeDocument/2006/relationships/hyperlink" Target="https://ru.investing.com/equities/enphase-energy-inc-historical-data" TargetMode="External"/><Relationship Id="rId877" Type="http://schemas.openxmlformats.org/officeDocument/2006/relationships/hyperlink" Target="https://www.moex.com/ru/marketdata/" TargetMode="External"/><Relationship Id="rId1062" Type="http://schemas.openxmlformats.org/officeDocument/2006/relationships/hyperlink" Target="https://ru.investing.com/equities/teleflex-inc-historical-data" TargetMode="External"/><Relationship Id="rId737" Type="http://schemas.openxmlformats.org/officeDocument/2006/relationships/hyperlink" Target="https://www.moex.com/ru/marketdata/" TargetMode="External"/><Relationship Id="rId944" Type="http://schemas.openxmlformats.org/officeDocument/2006/relationships/hyperlink" Target="https://ru.investing.com/equities/republic-services-inc-historical-data" TargetMode="External"/><Relationship Id="rId1367" Type="http://schemas.openxmlformats.org/officeDocument/2006/relationships/hyperlink" Target="https://www.moex.com/ru/marketdata/" TargetMode="External"/><Relationship Id="rId73" Type="http://schemas.openxmlformats.org/officeDocument/2006/relationships/hyperlink" Target="https://ru.investing.com/equities/american-electric-historical-data" TargetMode="External"/><Relationship Id="rId169" Type="http://schemas.openxmlformats.org/officeDocument/2006/relationships/hyperlink" Target="https://ru.investing.com/equities/car-charging-group-historical-data" TargetMode="External"/><Relationship Id="rId376" Type="http://schemas.openxmlformats.org/officeDocument/2006/relationships/hyperlink" Target="https://ru.investing.com/equities/dish-network-historical-data" TargetMode="External"/><Relationship Id="rId583" Type="http://schemas.openxmlformats.org/officeDocument/2006/relationships/hyperlink" Target="https://www.moex.com/ru/marketdata/" TargetMode="External"/><Relationship Id="rId790" Type="http://schemas.openxmlformats.org/officeDocument/2006/relationships/hyperlink" Target="https://ru.investing.com/equities/newell-rubber-historical-data" TargetMode="External"/><Relationship Id="rId804" Type="http://schemas.openxmlformats.org/officeDocument/2006/relationships/hyperlink" Target="https://ru.investing.com/equities/norfolk-southern-historical-data" TargetMode="External"/><Relationship Id="rId1227" Type="http://schemas.openxmlformats.org/officeDocument/2006/relationships/hyperlink" Target="https://www.moex.com/ru/marketdata/" TargetMode="External"/><Relationship Id="rId4" Type="http://schemas.openxmlformats.org/officeDocument/2006/relationships/hyperlink" Target="https://www.moex.com/ru/marketdata/" TargetMode="External"/><Relationship Id="rId236" Type="http://schemas.openxmlformats.org/officeDocument/2006/relationships/hyperlink" Target="https://www.moex.com/ru/marketdata/" TargetMode="External"/><Relationship Id="rId443" Type="http://schemas.openxmlformats.org/officeDocument/2006/relationships/hyperlink" Target="https://www.moex.com/ru/marketdata/" TargetMode="External"/><Relationship Id="rId650" Type="http://schemas.openxmlformats.org/officeDocument/2006/relationships/hyperlink" Target="https://ru.investing.com/equities/keysight-technologies-historical-data" TargetMode="External"/><Relationship Id="rId888" Type="http://schemas.openxmlformats.org/officeDocument/2006/relationships/hyperlink" Target="https://ru.investing.com/equities/pitney-bowes-inc-historical-data" TargetMode="External"/><Relationship Id="rId1073" Type="http://schemas.openxmlformats.org/officeDocument/2006/relationships/hyperlink" Target="https://www.moex.com/ru/marketdata/" TargetMode="External"/><Relationship Id="rId1280" Type="http://schemas.openxmlformats.org/officeDocument/2006/relationships/hyperlink" Target="https://ru.investing.com/equities/ziprecruiter-historical-data" TargetMode="External"/><Relationship Id="rId303" Type="http://schemas.openxmlformats.org/officeDocument/2006/relationships/hyperlink" Target="https://ru.investing.com/equities/conoco-phillips-historical-data" TargetMode="External"/><Relationship Id="rId748" Type="http://schemas.openxmlformats.org/officeDocument/2006/relationships/hyperlink" Target="https://ru.investing.com/equities/tpg-pace-energy-class-a-historical-data" TargetMode="External"/><Relationship Id="rId955" Type="http://schemas.openxmlformats.org/officeDocument/2006/relationships/hyperlink" Target="https://www.moex.com/ru/marketdata/" TargetMode="External"/><Relationship Id="rId1140" Type="http://schemas.openxmlformats.org/officeDocument/2006/relationships/hyperlink" Target="https://ru.investing.com/equities/tyler-technologies-inc-historical-data" TargetMode="External"/><Relationship Id="rId84" Type="http://schemas.openxmlformats.org/officeDocument/2006/relationships/hyperlink" Target="https://www.moex.com/ru/marketdata/" TargetMode="External"/><Relationship Id="rId387" Type="http://schemas.openxmlformats.org/officeDocument/2006/relationships/hyperlink" Target="https://www.moex.com/ru/marketdata/" TargetMode="External"/><Relationship Id="rId510" Type="http://schemas.openxmlformats.org/officeDocument/2006/relationships/hyperlink" Target="https://ru.investing.com/equities/freedom-historical-data" TargetMode="External"/><Relationship Id="rId594" Type="http://schemas.openxmlformats.org/officeDocument/2006/relationships/hyperlink" Target="https://ru.investing.com/equities/incyte-corp-historical-data" TargetMode="External"/><Relationship Id="rId608" Type="http://schemas.openxmlformats.org/officeDocument/2006/relationships/hyperlink" Target="https://ru.investing.com/equities/intl-paper-co-historical-data" TargetMode="External"/><Relationship Id="rId815" Type="http://schemas.openxmlformats.org/officeDocument/2006/relationships/hyperlink" Target="https://www.moex.com/ru/marketdata/" TargetMode="External"/><Relationship Id="rId1238" Type="http://schemas.openxmlformats.org/officeDocument/2006/relationships/hyperlink" Target="https://ru.investing.com/equities/whirl-pool-corp-historical-data" TargetMode="External"/><Relationship Id="rId247" Type="http://schemas.openxmlformats.org/officeDocument/2006/relationships/hyperlink" Target="https://ru.investing.com/equities/chemocentryx-inc-historical-data" TargetMode="External"/><Relationship Id="rId899" Type="http://schemas.openxmlformats.org/officeDocument/2006/relationships/hyperlink" Target="https://www.moex.com/ru/marketdata/" TargetMode="External"/><Relationship Id="rId1000" Type="http://schemas.openxmlformats.org/officeDocument/2006/relationships/hyperlink" Target="https://ru.investing.com/equities/solid-biosciences-historical-data" TargetMode="External"/><Relationship Id="rId1084" Type="http://schemas.openxmlformats.org/officeDocument/2006/relationships/hyperlink" Target="https://ru.investing.com/equities/cigna-corp-historical-data" TargetMode="External"/><Relationship Id="rId1305" Type="http://schemas.openxmlformats.org/officeDocument/2006/relationships/hyperlink" Target="https://www.moex.com/ru/marketdata/" TargetMode="External"/><Relationship Id="rId107" Type="http://schemas.openxmlformats.org/officeDocument/2006/relationships/hyperlink" Target="https://ru.investing.com/equities/aramark-holdings-historical-data" TargetMode="External"/><Relationship Id="rId454" Type="http://schemas.openxmlformats.org/officeDocument/2006/relationships/hyperlink" Target="https://ru.investing.com/equities/exelixis-inc-historical-data" TargetMode="External"/><Relationship Id="rId661" Type="http://schemas.openxmlformats.org/officeDocument/2006/relationships/hyperlink" Target="https://www.moex.com/ru/marketdata/" TargetMode="External"/><Relationship Id="rId759" Type="http://schemas.openxmlformats.org/officeDocument/2006/relationships/hyperlink" Target="https://www.moex.com/ru/marketdata/" TargetMode="External"/><Relationship Id="rId966" Type="http://schemas.openxmlformats.org/officeDocument/2006/relationships/hyperlink" Target="https://ru.investing.com/equities/mcgraw-hill-historical-data" TargetMode="External"/><Relationship Id="rId1291" Type="http://schemas.openxmlformats.org/officeDocument/2006/relationships/hyperlink" Target="https://www.moex.com/ru/marketdata/" TargetMode="External"/><Relationship Id="rId11" Type="http://schemas.openxmlformats.org/officeDocument/2006/relationships/hyperlink" Target="https://ru.investing.com/equities/a.o-smith-corp-historical-data" TargetMode="External"/><Relationship Id="rId314" Type="http://schemas.openxmlformats.org/officeDocument/2006/relationships/hyperlink" Target="https://ru.investing.com/equities/corning-inc-historical-data" TargetMode="External"/><Relationship Id="rId398" Type="http://schemas.openxmlformats.org/officeDocument/2006/relationships/hyperlink" Target="https://ru.investing.com/equities/dropbox-inc-historical-data" TargetMode="External"/><Relationship Id="rId521" Type="http://schemas.openxmlformats.org/officeDocument/2006/relationships/hyperlink" Target="https://www.moex.com/ru/marketdata/" TargetMode="External"/><Relationship Id="rId619" Type="http://schemas.openxmlformats.org/officeDocument/2006/relationships/hyperlink" Target="https://www.moex.com/ru/marketdata/" TargetMode="External"/><Relationship Id="rId1151" Type="http://schemas.openxmlformats.org/officeDocument/2006/relationships/hyperlink" Target="https://www.moex.com/ru/marketdata/" TargetMode="External"/><Relationship Id="rId1249" Type="http://schemas.openxmlformats.org/officeDocument/2006/relationships/hyperlink" Target="https://www.moex.com/ru/marketdata/" TargetMode="External"/><Relationship Id="rId95" Type="http://schemas.openxmlformats.org/officeDocument/2006/relationships/hyperlink" Target="https://ru.investing.com/equities/angies-list-inc-historical-data?cid=1185079" TargetMode="External"/><Relationship Id="rId160" Type="http://schemas.openxmlformats.org/officeDocument/2006/relationships/hyperlink" Target="https://www.moex.com/ru/marketdata/" TargetMode="External"/><Relationship Id="rId826" Type="http://schemas.openxmlformats.org/officeDocument/2006/relationships/hyperlink" Target="https://ru.investing.com/equities/okta-inc-historical-data" TargetMode="External"/><Relationship Id="rId1011" Type="http://schemas.openxmlformats.org/officeDocument/2006/relationships/hyperlink" Target="https://www.moex.com/ru/marketdata/" TargetMode="External"/><Relationship Id="rId1109" Type="http://schemas.openxmlformats.org/officeDocument/2006/relationships/hyperlink" Target="https://www.moex.com/ru/marketdata/" TargetMode="External"/><Relationship Id="rId258" Type="http://schemas.openxmlformats.org/officeDocument/2006/relationships/hyperlink" Target="https://www.moex.com/ru/marketdata/" TargetMode="External"/><Relationship Id="rId465" Type="http://schemas.openxmlformats.org/officeDocument/2006/relationships/hyperlink" Target="https://www.moex.com/ru/marketdata/" TargetMode="External"/><Relationship Id="rId672" Type="http://schemas.openxmlformats.org/officeDocument/2006/relationships/hyperlink" Target="https://ru.investing.com/equities/lamb-weston-holdings-inc-historical-data" TargetMode="External"/><Relationship Id="rId1095" Type="http://schemas.openxmlformats.org/officeDocument/2006/relationships/hyperlink" Target="https://www.moex.com/ru/marketdata/" TargetMode="External"/><Relationship Id="rId1316" Type="http://schemas.openxmlformats.org/officeDocument/2006/relationships/hyperlink" Target="https://ru.investing.com/equities/tal-education-group-historical-data" TargetMode="External"/><Relationship Id="rId22" Type="http://schemas.openxmlformats.org/officeDocument/2006/relationships/hyperlink" Target="https://www.moex.com/ru/marketdata/" TargetMode="External"/><Relationship Id="rId118" Type="http://schemas.openxmlformats.org/officeDocument/2006/relationships/hyperlink" Target="https://www.moex.com/ru/marketdata/" TargetMode="External"/><Relationship Id="rId325" Type="http://schemas.openxmlformats.org/officeDocument/2006/relationships/hyperlink" Target="https://www.moex.com/ru/marketdata/" TargetMode="External"/><Relationship Id="rId532" Type="http://schemas.openxmlformats.org/officeDocument/2006/relationships/hyperlink" Target="https://ru.investing.com/equities/gevo-historical-data" TargetMode="External"/><Relationship Id="rId977" Type="http://schemas.openxmlformats.org/officeDocument/2006/relationships/hyperlink" Target="https://www.moex.com/ru/marketdata/" TargetMode="External"/><Relationship Id="rId1162" Type="http://schemas.openxmlformats.org/officeDocument/2006/relationships/hyperlink" Target="https://ru.investing.com/equities/united-health-group-historical-data" TargetMode="External"/><Relationship Id="rId171" Type="http://schemas.openxmlformats.org/officeDocument/2006/relationships/hyperlink" Target="https://ru.investing.com/equities/square-inc-historical-data" TargetMode="External"/><Relationship Id="rId837" Type="http://schemas.openxmlformats.org/officeDocument/2006/relationships/hyperlink" Target="https://www.moex.com/ru/marketdata/" TargetMode="External"/><Relationship Id="rId1022" Type="http://schemas.openxmlformats.org/officeDocument/2006/relationships/hyperlink" Target="https://ru.investing.com/equities/stanley-works-historical-data" TargetMode="External"/><Relationship Id="rId269" Type="http://schemas.openxmlformats.org/officeDocument/2006/relationships/hyperlink" Target="https://ru.investing.com/equities/citizens-financial-group-inc-historical-data" TargetMode="External"/><Relationship Id="rId476" Type="http://schemas.openxmlformats.org/officeDocument/2006/relationships/hyperlink" Target="https://ru.investing.com/equities/fidelity-natl-in-historical-data" TargetMode="External"/><Relationship Id="rId683" Type="http://schemas.openxmlformats.org/officeDocument/2006/relationships/hyperlink" Target="https://www.moex.com/ru/marketdata/" TargetMode="External"/><Relationship Id="rId890" Type="http://schemas.openxmlformats.org/officeDocument/2006/relationships/hyperlink" Target="https://ru.investing.com/equities/planet-fitness-inc-historical-data" TargetMode="External"/><Relationship Id="rId904" Type="http://schemas.openxmlformats.org/officeDocument/2006/relationships/hyperlink" Target="https://ru.investing.com/equities/prudential-fin-historical-data" TargetMode="External"/><Relationship Id="rId1327" Type="http://schemas.openxmlformats.org/officeDocument/2006/relationships/hyperlink" Target="https://www.moex.com/ru/marketdata/" TargetMode="External"/><Relationship Id="rId33" Type="http://schemas.openxmlformats.org/officeDocument/2006/relationships/hyperlink" Target="https://ru.investing.com/equities/aflac-inc-historical-data" TargetMode="External"/><Relationship Id="rId129" Type="http://schemas.openxmlformats.org/officeDocument/2006/relationships/hyperlink" Target="https://ru.investing.com/equities/avantor-inc-historical-data" TargetMode="External"/><Relationship Id="rId336" Type="http://schemas.openxmlformats.org/officeDocument/2006/relationships/hyperlink" Target="https://ru.investing.com/equities/csx-corp-historical-data" TargetMode="External"/><Relationship Id="rId543" Type="http://schemas.openxmlformats.org/officeDocument/2006/relationships/hyperlink" Target="https://www.moex.com/ru/marketdata/" TargetMode="External"/><Relationship Id="rId988" Type="http://schemas.openxmlformats.org/officeDocument/2006/relationships/hyperlink" Target="https://ru.investing.com/equities/flying-eagle-acquisition-corp-historical-data" TargetMode="External"/><Relationship Id="rId1173" Type="http://schemas.openxmlformats.org/officeDocument/2006/relationships/hyperlink" Target="https://www.moex.com/ru/marketdata/" TargetMode="External"/><Relationship Id="rId182" Type="http://schemas.openxmlformats.org/officeDocument/2006/relationships/hyperlink" Target="https://www.moex.com/ru/marketdata/" TargetMode="External"/><Relationship Id="rId403" Type="http://schemas.openxmlformats.org/officeDocument/2006/relationships/hyperlink" Target="https://www.moex.com/ru/marketdata/" TargetMode="External"/><Relationship Id="rId750" Type="http://schemas.openxmlformats.org/officeDocument/2006/relationships/hyperlink" Target="https://ru.investing.com/equities/microchip-technology-inc-historical-data" TargetMode="External"/><Relationship Id="rId848" Type="http://schemas.openxmlformats.org/officeDocument/2006/relationships/hyperlink" Target="https://ru.investing.com/equities/paccar-inc-historical-data" TargetMode="External"/><Relationship Id="rId1033" Type="http://schemas.openxmlformats.org/officeDocument/2006/relationships/hyperlink" Target="https://www.moex.com/ru/marketdata/" TargetMode="External"/><Relationship Id="rId487" Type="http://schemas.openxmlformats.org/officeDocument/2006/relationships/hyperlink" Target="https://www.moex.com/ru/marketdata/" TargetMode="External"/><Relationship Id="rId610" Type="http://schemas.openxmlformats.org/officeDocument/2006/relationships/hyperlink" Target="https://ru.investing.com/equities/interpublic-grp-historical-data" TargetMode="External"/><Relationship Id="rId694" Type="http://schemas.openxmlformats.org/officeDocument/2006/relationships/hyperlink" Target="https://ru.investing.com/equities/louisiana-pacific-historical-data" TargetMode="External"/><Relationship Id="rId708" Type="http://schemas.openxmlformats.org/officeDocument/2006/relationships/hyperlink" Target="https://ru.investing.com/equities/macys-historical-data" TargetMode="External"/><Relationship Id="rId915" Type="http://schemas.openxmlformats.org/officeDocument/2006/relationships/hyperlink" Target="https://www.moex.com/ru/marketdata/" TargetMode="External"/><Relationship Id="rId1240" Type="http://schemas.openxmlformats.org/officeDocument/2006/relationships/hyperlink" Target="https://ru.investing.com/equities/williams-cos-historical-data" TargetMode="External"/><Relationship Id="rId1338" Type="http://schemas.openxmlformats.org/officeDocument/2006/relationships/hyperlink" Target="https://ru.investing.com/etfs/ishares-msci-usa-moment-factor-historical-data" TargetMode="External"/><Relationship Id="rId347" Type="http://schemas.openxmlformats.org/officeDocument/2006/relationships/hyperlink" Target="https://www.moex.com/ru/marketdata/" TargetMode="External"/><Relationship Id="rId999" Type="http://schemas.openxmlformats.org/officeDocument/2006/relationships/hyperlink" Target="https://www.moex.com/ru/marketdata/" TargetMode="External"/><Relationship Id="rId1100" Type="http://schemas.openxmlformats.org/officeDocument/2006/relationships/hyperlink" Target="https://ru.investing.com/equities/new-york-times-historical-data" TargetMode="External"/><Relationship Id="rId1184" Type="http://schemas.openxmlformats.org/officeDocument/2006/relationships/hyperlink" Target="https://ru.investing.com/equities/verisign-inc-historical-data" TargetMode="External"/><Relationship Id="rId44" Type="http://schemas.openxmlformats.org/officeDocument/2006/relationships/hyperlink" Target="https://www.moex.com/ru/marketdata/" TargetMode="External"/><Relationship Id="rId554" Type="http://schemas.openxmlformats.org/officeDocument/2006/relationships/hyperlink" Target="https://ru.investing.com/equities/hca-holdings-inc-historical-data" TargetMode="External"/><Relationship Id="rId761" Type="http://schemas.openxmlformats.org/officeDocument/2006/relationships/hyperlink" Target="https://www.moex.com/ru/marketdata/" TargetMode="External"/><Relationship Id="rId859" Type="http://schemas.openxmlformats.org/officeDocument/2006/relationships/hyperlink" Target="https://www.moex.com/ru/marketdata/" TargetMode="External"/><Relationship Id="rId193" Type="http://schemas.openxmlformats.org/officeDocument/2006/relationships/hyperlink" Target="https://ru.investing.com/equities/builders-firstsou-historical-data" TargetMode="External"/><Relationship Id="rId207" Type="http://schemas.openxmlformats.org/officeDocument/2006/relationships/hyperlink" Target="https://ru.investing.com/equities/cardinal-health-historical-data" TargetMode="External"/><Relationship Id="rId414" Type="http://schemas.openxmlformats.org/officeDocument/2006/relationships/hyperlink" Target="https://ru.investing.com/equities/edison-intl-historical-data" TargetMode="External"/><Relationship Id="rId498" Type="http://schemas.openxmlformats.org/officeDocument/2006/relationships/hyperlink" Target="https://ru.investing.com/equities/ford-motor-co-historical-data" TargetMode="External"/><Relationship Id="rId621" Type="http://schemas.openxmlformats.org/officeDocument/2006/relationships/hyperlink" Target="https://www.moex.com/ru/marketdata/" TargetMode="External"/><Relationship Id="rId1044" Type="http://schemas.openxmlformats.org/officeDocument/2006/relationships/hyperlink" Target="https://ru.investing.com/equities/sysco-corp-historical-data" TargetMode="External"/><Relationship Id="rId1251" Type="http://schemas.openxmlformats.org/officeDocument/2006/relationships/hyperlink" Target="https://www.moex.com/ru/marketdata/" TargetMode="External"/><Relationship Id="rId1349" Type="http://schemas.openxmlformats.org/officeDocument/2006/relationships/hyperlink" Target="https://ru.investing.com/etfs/vanguard-total-intl-stock-historical-data" TargetMode="External"/><Relationship Id="rId260" Type="http://schemas.openxmlformats.org/officeDocument/2006/relationships/hyperlink" Target="https://www.moex.com/ru/marketdata/" TargetMode="External"/><Relationship Id="rId719" Type="http://schemas.openxmlformats.org/officeDocument/2006/relationships/hyperlink" Target="https://www.moex.com/ru/marketdata/" TargetMode="External"/><Relationship Id="rId926" Type="http://schemas.openxmlformats.org/officeDocument/2006/relationships/hyperlink" Target="https://ru.investing.com/equities/quest-diag-historical-data" TargetMode="External"/><Relationship Id="rId1111" Type="http://schemas.openxmlformats.org/officeDocument/2006/relationships/hyperlink" Target="https://www.moex.com/ru/marketdata/" TargetMode="External"/><Relationship Id="rId55" Type="http://schemas.openxmlformats.org/officeDocument/2006/relationships/hyperlink" Target="https://ru.investing.com/equities/ally-financ-historical-data" TargetMode="External"/><Relationship Id="rId120" Type="http://schemas.openxmlformats.org/officeDocument/2006/relationships/hyperlink" Target="https://www.moex.com/ru/marketdata/" TargetMode="External"/><Relationship Id="rId358" Type="http://schemas.openxmlformats.org/officeDocument/2006/relationships/hyperlink" Target="https://ru.investing.com/equities/dell-inc-historical-data" TargetMode="External"/><Relationship Id="rId565" Type="http://schemas.openxmlformats.org/officeDocument/2006/relationships/hyperlink" Target="https://www.moex.com/ru/marketdata/" TargetMode="External"/><Relationship Id="rId772" Type="http://schemas.openxmlformats.org/officeDocument/2006/relationships/hyperlink" Target="https://ru.investing.com/equities/morgan-stanley-historical-data" TargetMode="External"/><Relationship Id="rId1195" Type="http://schemas.openxmlformats.org/officeDocument/2006/relationships/hyperlink" Target="https://www.moex.com/ru/marketdata/" TargetMode="External"/><Relationship Id="rId1209" Type="http://schemas.openxmlformats.org/officeDocument/2006/relationships/hyperlink" Target="https://www.moex.com/ru/marketdata/" TargetMode="External"/><Relationship Id="rId218" Type="http://schemas.openxmlformats.org/officeDocument/2006/relationships/hyperlink" Target="https://www.moex.com/ru/marketdata/" TargetMode="External"/><Relationship Id="rId425" Type="http://schemas.openxmlformats.org/officeDocument/2006/relationships/hyperlink" Target="https://www.moex.com/ru/marketdata/" TargetMode="External"/><Relationship Id="rId632" Type="http://schemas.openxmlformats.org/officeDocument/2006/relationships/hyperlink" Target="https://ru.investing.com/equities/jacobs-engineer-historical-data?cid=1177327" TargetMode="External"/><Relationship Id="rId1055" Type="http://schemas.openxmlformats.org/officeDocument/2006/relationships/hyperlink" Target="https://www.moex.com/ru/marketdata/" TargetMode="External"/><Relationship Id="rId1262" Type="http://schemas.openxmlformats.org/officeDocument/2006/relationships/hyperlink" Target="https://ru.investing.com/equities/xylem-historical-data" TargetMode="External"/><Relationship Id="rId271" Type="http://schemas.openxmlformats.org/officeDocument/2006/relationships/hyperlink" Target="https://ru.investing.com/equities/citrix-systems-biv-historical-data" TargetMode="External"/><Relationship Id="rId937" Type="http://schemas.openxmlformats.org/officeDocument/2006/relationships/hyperlink" Target="https://www.moex.com/ru/marketdata/" TargetMode="External"/><Relationship Id="rId1122" Type="http://schemas.openxmlformats.org/officeDocument/2006/relationships/hyperlink" Target="https://ru.investing.com/equities/transdigm-group-inc-historical-data" TargetMode="External"/><Relationship Id="rId66" Type="http://schemas.openxmlformats.org/officeDocument/2006/relationships/hyperlink" Target="https://www.moex.com/ru/marketdata/" TargetMode="External"/><Relationship Id="rId131" Type="http://schemas.openxmlformats.org/officeDocument/2006/relationships/hyperlink" Target="https://ru.investing.com/equities/avery-dennison-historical-data" TargetMode="External"/><Relationship Id="rId369" Type="http://schemas.openxmlformats.org/officeDocument/2006/relationships/hyperlink" Target="https://www.moex.com/ru/marketdata/" TargetMode="External"/><Relationship Id="rId576" Type="http://schemas.openxmlformats.org/officeDocument/2006/relationships/hyperlink" Target="https://ru.investing.com/equities/hewlett-pack-historical-data" TargetMode="External"/><Relationship Id="rId783" Type="http://schemas.openxmlformats.org/officeDocument/2006/relationships/hyperlink" Target="https://www.moex.com/ru/marketdata/" TargetMode="External"/><Relationship Id="rId990" Type="http://schemas.openxmlformats.org/officeDocument/2006/relationships/hyperlink" Target="https://ru.investing.com/equities/skyworks-solutions-inc-historical-data" TargetMode="External"/><Relationship Id="rId229" Type="http://schemas.openxmlformats.org/officeDocument/2006/relationships/hyperlink" Target="https://ru.investing.com/equities/centene-historical-data" TargetMode="External"/><Relationship Id="rId436" Type="http://schemas.openxmlformats.org/officeDocument/2006/relationships/hyperlink" Target="https://ru.investing.com/equities/eog-resources-historical-data" TargetMode="External"/><Relationship Id="rId643" Type="http://schemas.openxmlformats.org/officeDocument/2006/relationships/hyperlink" Target="https://www.moex.com/ru/marketdata/" TargetMode="External"/><Relationship Id="rId1066" Type="http://schemas.openxmlformats.org/officeDocument/2006/relationships/hyperlink" Target="https://ru.investing.com/equities/tempur-pedic-international-inc-historical-data" TargetMode="External"/><Relationship Id="rId1273" Type="http://schemas.openxmlformats.org/officeDocument/2006/relationships/hyperlink" Target="https://www.moex.com/ru/marketdata/" TargetMode="External"/><Relationship Id="rId850" Type="http://schemas.openxmlformats.org/officeDocument/2006/relationships/hyperlink" Target="https://ru.investing.com/equities/packaging-corp-historical-data" TargetMode="External"/><Relationship Id="rId948" Type="http://schemas.openxmlformats.org/officeDocument/2006/relationships/hyperlink" Target="https://ru.investing.com/equities/revolve-group-historical-data" TargetMode="External"/><Relationship Id="rId1133" Type="http://schemas.openxmlformats.org/officeDocument/2006/relationships/hyperlink" Target="https://www.moex.com/ru/marketdata/" TargetMode="External"/><Relationship Id="rId77" Type="http://schemas.openxmlformats.org/officeDocument/2006/relationships/hyperlink" Target="https://ru.investing.com/equities/american-intl-group-historical-data" TargetMode="External"/><Relationship Id="rId282" Type="http://schemas.openxmlformats.org/officeDocument/2006/relationships/hyperlink" Target="https://www.moex.com/ru/marketdata/" TargetMode="External"/><Relationship Id="rId503" Type="http://schemas.openxmlformats.org/officeDocument/2006/relationships/hyperlink" Target="https://www.moex.com/ru/marketdata/" TargetMode="External"/><Relationship Id="rId587" Type="http://schemas.openxmlformats.org/officeDocument/2006/relationships/hyperlink" Target="https://www.moex.com/ru/marketdata/" TargetMode="External"/><Relationship Id="rId710" Type="http://schemas.openxmlformats.org/officeDocument/2006/relationships/hyperlink" Target="https://ru.investing.com/equities/marathon-oil-historical-data" TargetMode="External"/><Relationship Id="rId808" Type="http://schemas.openxmlformats.org/officeDocument/2006/relationships/hyperlink" Target="https://ru.investing.com/equities/ntl-oilwell-varc-historical-data" TargetMode="External"/><Relationship Id="rId1340" Type="http://schemas.openxmlformats.org/officeDocument/2006/relationships/hyperlink" Target="https://ru.investing.com/etfs/kraneshares-csi-china-internet-historical-data" TargetMode="External"/><Relationship Id="rId8" Type="http://schemas.openxmlformats.org/officeDocument/2006/relationships/hyperlink" Target="https://www.moex.com/ru/marketdata/" TargetMode="External"/><Relationship Id="rId142" Type="http://schemas.openxmlformats.org/officeDocument/2006/relationships/hyperlink" Target="https://www.moex.com/ru/marketdata/" TargetMode="External"/><Relationship Id="rId447" Type="http://schemas.openxmlformats.org/officeDocument/2006/relationships/hyperlink" Target="https://www.moex.com/ru/marketdata/" TargetMode="External"/><Relationship Id="rId794" Type="http://schemas.openxmlformats.org/officeDocument/2006/relationships/hyperlink" Target="https://ru.investing.com/equities/news-corporation-historical-data" TargetMode="External"/><Relationship Id="rId1077" Type="http://schemas.openxmlformats.org/officeDocument/2006/relationships/hyperlink" Target="https://www.moex.com/ru/marketdata/" TargetMode="External"/><Relationship Id="rId1200" Type="http://schemas.openxmlformats.org/officeDocument/2006/relationships/hyperlink" Target="https://ru.investing.com/equities/virtu-financial-inc-historical-data" TargetMode="External"/><Relationship Id="rId654" Type="http://schemas.openxmlformats.org/officeDocument/2006/relationships/hyperlink" Target="https://ru.investing.com/equities/kinder-morgan-historical-data" TargetMode="External"/><Relationship Id="rId861" Type="http://schemas.openxmlformats.org/officeDocument/2006/relationships/hyperlink" Target="https://www.moex.com/ru/marketdata/" TargetMode="External"/><Relationship Id="rId959" Type="http://schemas.openxmlformats.org/officeDocument/2006/relationships/hyperlink" Target="https://www.moex.com/ru/marketdata/" TargetMode="External"/><Relationship Id="rId1284" Type="http://schemas.openxmlformats.org/officeDocument/2006/relationships/hyperlink" Target="https://ru.investing.com/equities/zoom-video-communications-historical-data" TargetMode="External"/><Relationship Id="rId293" Type="http://schemas.openxmlformats.org/officeDocument/2006/relationships/hyperlink" Target="https://ru.investing.com/equities/coherent-historical-data" TargetMode="External"/><Relationship Id="rId307" Type="http://schemas.openxmlformats.org/officeDocument/2006/relationships/hyperlink" Target="https://ru.investing.com/equities/constellation-a-historical-data" TargetMode="External"/><Relationship Id="rId514" Type="http://schemas.openxmlformats.org/officeDocument/2006/relationships/hyperlink" Target="https://ru.investing.com/equities/funko-inc-historical-data" TargetMode="External"/><Relationship Id="rId721" Type="http://schemas.openxmlformats.org/officeDocument/2006/relationships/hyperlink" Target="https://www.moex.com/ru/marketdata/" TargetMode="External"/><Relationship Id="rId1144" Type="http://schemas.openxmlformats.org/officeDocument/2006/relationships/hyperlink" Target="https://ru.investing.com/equities/us-bancorp-historical-data" TargetMode="External"/><Relationship Id="rId1351" Type="http://schemas.openxmlformats.org/officeDocument/2006/relationships/hyperlink" Target="https://www.moex.com/ru/marketdata/" TargetMode="External"/><Relationship Id="rId88" Type="http://schemas.openxmlformats.org/officeDocument/2006/relationships/hyperlink" Target="https://www.moex.com/ru/marketdata/" TargetMode="External"/><Relationship Id="rId153" Type="http://schemas.openxmlformats.org/officeDocument/2006/relationships/hyperlink" Target="https://ru.investing.com/equities/beyond-meat-inc-historical-data" TargetMode="External"/><Relationship Id="rId360" Type="http://schemas.openxmlformats.org/officeDocument/2006/relationships/hyperlink" Target="https://ru.investing.com/equities/delta-air-lines-new-historical-data" TargetMode="External"/><Relationship Id="rId598" Type="http://schemas.openxmlformats.org/officeDocument/2006/relationships/hyperlink" Target="https://ru.investing.com/equities/novatel-wireless-historical-data" TargetMode="External"/><Relationship Id="rId819" Type="http://schemas.openxmlformats.org/officeDocument/2006/relationships/hyperlink" Target="https://www.moex.com/ru/marketdata/" TargetMode="External"/><Relationship Id="rId1004" Type="http://schemas.openxmlformats.org/officeDocument/2006/relationships/hyperlink" Target="https://ru.investing.com/equities/south-jersey-industries-inc-historical-data" TargetMode="External"/><Relationship Id="rId1211" Type="http://schemas.openxmlformats.org/officeDocument/2006/relationships/hyperlink" Target="https://www.moex.com/ru/marketdata/" TargetMode="External"/><Relationship Id="rId220" Type="http://schemas.openxmlformats.org/officeDocument/2006/relationships/hyperlink" Target="https://www.moex.com/ru/marketdata/" TargetMode="External"/><Relationship Id="rId458" Type="http://schemas.openxmlformats.org/officeDocument/2006/relationships/hyperlink" Target="https://ru.investing.com/equities/expedia-historical-data" TargetMode="External"/><Relationship Id="rId665" Type="http://schemas.openxmlformats.org/officeDocument/2006/relationships/hyperlink" Target="https://www.moex.com/ru/marketdata/" TargetMode="External"/><Relationship Id="rId872" Type="http://schemas.openxmlformats.org/officeDocument/2006/relationships/hyperlink" Target="https://ru.investing.com/equities/pepsico-historical-data" TargetMode="External"/><Relationship Id="rId1088" Type="http://schemas.openxmlformats.org/officeDocument/2006/relationships/hyperlink" Target="https://ru.investing.com/equities/goldman-sachs-group-historical-data" TargetMode="External"/><Relationship Id="rId1295" Type="http://schemas.openxmlformats.org/officeDocument/2006/relationships/hyperlink" Target="https://www.moex.com/ru/marketdata/" TargetMode="External"/><Relationship Id="rId1309" Type="http://schemas.openxmlformats.org/officeDocument/2006/relationships/hyperlink" Target="https://www.moex.com/ru/marketdata/" TargetMode="External"/><Relationship Id="rId15" Type="http://schemas.openxmlformats.org/officeDocument/2006/relationships/hyperlink" Target="https://ru.investing.com/equities/abbvie-inc-historical-data" TargetMode="External"/><Relationship Id="rId318" Type="http://schemas.openxmlformats.org/officeDocument/2006/relationships/hyperlink" Target="https://ru.investing.com/equities/costar-group-historical-data" TargetMode="External"/><Relationship Id="rId525" Type="http://schemas.openxmlformats.org/officeDocument/2006/relationships/hyperlink" Target="https://www.moex.com/ru/marketdata/" TargetMode="External"/><Relationship Id="rId732" Type="http://schemas.openxmlformats.org/officeDocument/2006/relationships/hyperlink" Target="https://ru.investing.com/equities/mccormick---co-historical-data" TargetMode="External"/><Relationship Id="rId1155" Type="http://schemas.openxmlformats.org/officeDocument/2006/relationships/hyperlink" Target="https://www.moex.com/ru/marketdata/" TargetMode="External"/><Relationship Id="rId1362" Type="http://schemas.openxmlformats.org/officeDocument/2006/relationships/hyperlink" Target="https://www.moex.com/ru/marketdata/" TargetMode="External"/><Relationship Id="rId99" Type="http://schemas.openxmlformats.org/officeDocument/2006/relationships/hyperlink" Target="https://ru.investing.com/equities/apache-corp-historical-data" TargetMode="External"/><Relationship Id="rId164" Type="http://schemas.openxmlformats.org/officeDocument/2006/relationships/hyperlink" Target="https://www.moex.com/ru/marketdata/" TargetMode="External"/><Relationship Id="rId371" Type="http://schemas.openxmlformats.org/officeDocument/2006/relationships/hyperlink" Target="https://www.moex.com/ru/marketdata/" TargetMode="External"/><Relationship Id="rId1015" Type="http://schemas.openxmlformats.org/officeDocument/2006/relationships/hyperlink" Target="https://www.moex.com/ru/marketdata/" TargetMode="External"/><Relationship Id="rId1222" Type="http://schemas.openxmlformats.org/officeDocument/2006/relationships/hyperlink" Target="https://ru.investing.com/equities/waste-managemnt-historical-data" TargetMode="External"/><Relationship Id="rId469" Type="http://schemas.openxmlformats.org/officeDocument/2006/relationships/hyperlink" Target="https://www.moex.com/ru/marketdata/" TargetMode="External"/><Relationship Id="rId676" Type="http://schemas.openxmlformats.org/officeDocument/2006/relationships/hyperlink" Target="https://ru.investing.com/equities/lattice-semiconductor-historical-data" TargetMode="External"/><Relationship Id="rId883" Type="http://schemas.openxmlformats.org/officeDocument/2006/relationships/hyperlink" Target="https://www.moex.com/ru/marketdata/" TargetMode="External"/><Relationship Id="rId1099" Type="http://schemas.openxmlformats.org/officeDocument/2006/relationships/hyperlink" Target="https://www.moex.com/ru/marketdata/" TargetMode="External"/><Relationship Id="rId26" Type="http://schemas.openxmlformats.org/officeDocument/2006/relationships/hyperlink" Target="https://www.moex.com/ru/marketdata/" TargetMode="External"/><Relationship Id="rId231" Type="http://schemas.openxmlformats.org/officeDocument/2006/relationships/hyperlink" Target="https://ru.investing.com/equities/centerpoint-historical-data" TargetMode="External"/><Relationship Id="rId329" Type="http://schemas.openxmlformats.org/officeDocument/2006/relationships/hyperlink" Target="https://www.moex.com/ru/marketdata/" TargetMode="External"/><Relationship Id="rId536" Type="http://schemas.openxmlformats.org/officeDocument/2006/relationships/hyperlink" Target="https://ru.investing.com/equities/global-payments-historical-data" TargetMode="External"/><Relationship Id="rId1166" Type="http://schemas.openxmlformats.org/officeDocument/2006/relationships/hyperlink" Target="https://ru.investing.com/equities/universal-health-services-historical-data" TargetMode="External"/><Relationship Id="rId1373" Type="http://schemas.openxmlformats.org/officeDocument/2006/relationships/hyperlink" Target="https://ru.investing.com/equities/axsome-therapeutics-inc-historical-data" TargetMode="External"/><Relationship Id="rId175" Type="http://schemas.openxmlformats.org/officeDocument/2006/relationships/hyperlink" Target="https://ru.investing.com/equities/bluebird-bio-inc-historical-data" TargetMode="External"/><Relationship Id="rId743" Type="http://schemas.openxmlformats.org/officeDocument/2006/relationships/hyperlink" Target="https://www.moex.com/ru/marketdata/" TargetMode="External"/><Relationship Id="rId950" Type="http://schemas.openxmlformats.org/officeDocument/2006/relationships/hyperlink" Target="https://ru.investing.com/equities/perkinelmer-historical-data" TargetMode="External"/><Relationship Id="rId1026" Type="http://schemas.openxmlformats.org/officeDocument/2006/relationships/hyperlink" Target="https://ru.investing.com/equities/state-street-historical-data" TargetMode="External"/><Relationship Id="rId382" Type="http://schemas.openxmlformats.org/officeDocument/2006/relationships/hyperlink" Target="https://ru.investing.com/equities/dollar-tree-inc-historical-data" TargetMode="External"/><Relationship Id="rId603" Type="http://schemas.openxmlformats.org/officeDocument/2006/relationships/hyperlink" Target="https://www.moex.com/ru/marketdata/" TargetMode="External"/><Relationship Id="rId687" Type="http://schemas.openxmlformats.org/officeDocument/2006/relationships/hyperlink" Target="https://www.moex.com/ru/marketdata/" TargetMode="External"/><Relationship Id="rId810" Type="http://schemas.openxmlformats.org/officeDocument/2006/relationships/hyperlink" Target="https://ru.investing.com/equities/nrg-energy-inc-historical-data" TargetMode="External"/><Relationship Id="rId908" Type="http://schemas.openxmlformats.org/officeDocument/2006/relationships/hyperlink" Target="https://ru.investing.com/equities/publ-svc-enter-historical-data" TargetMode="External"/><Relationship Id="rId1233" Type="http://schemas.openxmlformats.org/officeDocument/2006/relationships/hyperlink" Target="https://www.moex.com/ru/marketdata/" TargetMode="External"/><Relationship Id="rId242" Type="http://schemas.openxmlformats.org/officeDocument/2006/relationships/hyperlink" Target="https://www.moex.com/ru/marketdata/" TargetMode="External"/><Relationship Id="rId894" Type="http://schemas.openxmlformats.org/officeDocument/2006/relationships/hyperlink" Target="https://ru.investing.com/equities/pnc-fin-serv-historical-data" TargetMode="External"/><Relationship Id="rId1177" Type="http://schemas.openxmlformats.org/officeDocument/2006/relationships/hyperlink" Target="https://www.moex.com/ru/marketdata/" TargetMode="External"/><Relationship Id="rId1300" Type="http://schemas.openxmlformats.org/officeDocument/2006/relationships/hyperlink" Target="https://ru.investing.com/equities/jd.com-inc-adr-historical-data" TargetMode="External"/><Relationship Id="rId37" Type="http://schemas.openxmlformats.org/officeDocument/2006/relationships/hyperlink" Target="https://ru.investing.com/equities/air-prods---chem-historical-data" TargetMode="External"/><Relationship Id="rId102" Type="http://schemas.openxmlformats.org/officeDocument/2006/relationships/hyperlink" Target="https://www.moex.com/ru/marketdata/" TargetMode="External"/><Relationship Id="rId547" Type="http://schemas.openxmlformats.org/officeDocument/2006/relationships/hyperlink" Target="https://www.moex.com/ru/marketdata/" TargetMode="External"/><Relationship Id="rId754" Type="http://schemas.openxmlformats.org/officeDocument/2006/relationships/hyperlink" Target="https://ru.investing.com/equities/microstrategy-inc-historical-data" TargetMode="External"/><Relationship Id="rId961" Type="http://schemas.openxmlformats.org/officeDocument/2006/relationships/hyperlink" Target="https://www.moex.com/ru/marketdata/" TargetMode="External"/><Relationship Id="rId90" Type="http://schemas.openxmlformats.org/officeDocument/2006/relationships/hyperlink" Target="https://www.moex.com/ru/marketdata/" TargetMode="External"/><Relationship Id="rId186" Type="http://schemas.openxmlformats.org/officeDocument/2006/relationships/hyperlink" Target="https://www.moex.com/ru/marketdata/" TargetMode="External"/><Relationship Id="rId393" Type="http://schemas.openxmlformats.org/officeDocument/2006/relationships/hyperlink" Target="https://www.moex.com/ru/marketdata/" TargetMode="External"/><Relationship Id="rId407" Type="http://schemas.openxmlformats.org/officeDocument/2006/relationships/hyperlink" Target="https://www.moex.com/ru/marketdata/" TargetMode="External"/><Relationship Id="rId614" Type="http://schemas.openxmlformats.org/officeDocument/2006/relationships/hyperlink" Target="https://ru.investing.com/equities/intuitive-surgical-inc-historical-data" TargetMode="External"/><Relationship Id="rId821" Type="http://schemas.openxmlformats.org/officeDocument/2006/relationships/hyperlink" Target="https://www.moex.com/ru/marketdata/" TargetMode="External"/><Relationship Id="rId1037" Type="http://schemas.openxmlformats.org/officeDocument/2006/relationships/hyperlink" Target="https://www.moex.com/ru/marketdata/" TargetMode="External"/><Relationship Id="rId1244" Type="http://schemas.openxmlformats.org/officeDocument/2006/relationships/hyperlink" Target="https://ru.investing.com/equities/double-eagle-acquisition-corp-historical-data" TargetMode="External"/><Relationship Id="rId253" Type="http://schemas.openxmlformats.org/officeDocument/2006/relationships/hyperlink" Target="https://ru.investing.com/equities/chewy-inc-historical-data" TargetMode="External"/><Relationship Id="rId460" Type="http://schemas.openxmlformats.org/officeDocument/2006/relationships/hyperlink" Target="https://ru.investing.com/equities/expeditors-intl-wash-inc-historical-data" TargetMode="External"/><Relationship Id="rId698" Type="http://schemas.openxmlformats.org/officeDocument/2006/relationships/hyperlink" Target="https://ru.investing.com/equities/lululemon-athletica-historical-data" TargetMode="External"/><Relationship Id="rId919" Type="http://schemas.openxmlformats.org/officeDocument/2006/relationships/hyperlink" Target="https://www.moex.com/ru/marketdata/" TargetMode="External"/><Relationship Id="rId1090" Type="http://schemas.openxmlformats.org/officeDocument/2006/relationships/hyperlink" Target="https://ru.investing.com/equities/hartford-finl-historical-data" TargetMode="External"/><Relationship Id="rId1104" Type="http://schemas.openxmlformats.org/officeDocument/2006/relationships/hyperlink" Target="https://ru.investing.com/equities/the-progressive-historical-data" TargetMode="External"/><Relationship Id="rId1311" Type="http://schemas.openxmlformats.org/officeDocument/2006/relationships/hyperlink" Target="https://www.moex.com/ru/marketdata/" TargetMode="External"/><Relationship Id="rId48" Type="http://schemas.openxmlformats.org/officeDocument/2006/relationships/hyperlink" Target="https://www.moex.com/ru/marketdata/" TargetMode="External"/><Relationship Id="rId113" Type="http://schemas.openxmlformats.org/officeDocument/2006/relationships/hyperlink" Target="https://ru.investing.com/equities/arista-networks-historical-data" TargetMode="External"/><Relationship Id="rId320" Type="http://schemas.openxmlformats.org/officeDocument/2006/relationships/hyperlink" Target="https://ru.investing.com/equities/costco-whsl-corp-new-historical-data" TargetMode="External"/><Relationship Id="rId558" Type="http://schemas.openxmlformats.org/officeDocument/2006/relationships/hyperlink" Target="https://ru.investing.com/equities/heron-therapeuti-historical-data" TargetMode="External"/><Relationship Id="rId765" Type="http://schemas.openxmlformats.org/officeDocument/2006/relationships/hyperlink" Target="https://www.moex.com/ru/marketdata/" TargetMode="External"/><Relationship Id="rId972" Type="http://schemas.openxmlformats.org/officeDocument/2006/relationships/hyperlink" Target="https://ru.investing.com/equities/sealed-air-historical-data" TargetMode="External"/><Relationship Id="rId1188" Type="http://schemas.openxmlformats.org/officeDocument/2006/relationships/hyperlink" Target="https://ru.investing.com/equities/verizon-communications-historical-data" TargetMode="External"/><Relationship Id="rId197" Type="http://schemas.openxmlformats.org/officeDocument/2006/relationships/hyperlink" Target="https://ru.investing.com/equities/cadence-design-system-inc-historical-data" TargetMode="External"/><Relationship Id="rId418" Type="http://schemas.openxmlformats.org/officeDocument/2006/relationships/hyperlink" Target="https://ru.investing.com/equities/edward-lifescience-historical-data" TargetMode="External"/><Relationship Id="rId625" Type="http://schemas.openxmlformats.org/officeDocument/2006/relationships/hyperlink" Target="https://www.moex.com/ru/marketdata/" TargetMode="External"/><Relationship Id="rId832" Type="http://schemas.openxmlformats.org/officeDocument/2006/relationships/hyperlink" Target="https://ru.investing.com/equities/on-semiconductor-historical-data" TargetMode="External"/><Relationship Id="rId1048" Type="http://schemas.openxmlformats.org/officeDocument/2006/relationships/hyperlink" Target="https://ru.investing.com/equities/take-two-interactive-historical-data" TargetMode="External"/><Relationship Id="rId1255" Type="http://schemas.openxmlformats.org/officeDocument/2006/relationships/hyperlink" Target="https://www.moex.com/ru/marketdata/" TargetMode="External"/><Relationship Id="rId264" Type="http://schemas.openxmlformats.org/officeDocument/2006/relationships/hyperlink" Target="https://www.moex.com/ru/marketdata/" TargetMode="External"/><Relationship Id="rId471" Type="http://schemas.openxmlformats.org/officeDocument/2006/relationships/hyperlink" Target="https://www.moex.com/ru/marketdata/" TargetMode="External"/><Relationship Id="rId1115" Type="http://schemas.openxmlformats.org/officeDocument/2006/relationships/hyperlink" Target="https://www.moex.com/ru/marketdata/" TargetMode="External"/><Relationship Id="rId1322" Type="http://schemas.openxmlformats.org/officeDocument/2006/relationships/hyperlink" Target="https://ru.investing.com/equities/xpeng-inc-historical-data" TargetMode="External"/><Relationship Id="rId59" Type="http://schemas.openxmlformats.org/officeDocument/2006/relationships/hyperlink" Target="https://ru.investing.com/equities/alteryx-inc-historical-data" TargetMode="External"/><Relationship Id="rId124" Type="http://schemas.openxmlformats.org/officeDocument/2006/relationships/hyperlink" Target="https://www.moex.com/ru/marketdata/" TargetMode="External"/><Relationship Id="rId569" Type="http://schemas.openxmlformats.org/officeDocument/2006/relationships/hyperlink" Target="https://www.moex.com/ru/marketdata/" TargetMode="External"/><Relationship Id="rId776" Type="http://schemas.openxmlformats.org/officeDocument/2006/relationships/hyperlink" Target="https://ru.investing.com/equities/msci-inc-historical-data" TargetMode="External"/><Relationship Id="rId983" Type="http://schemas.openxmlformats.org/officeDocument/2006/relationships/hyperlink" Target="https://www.moex.com/ru/marketdata/" TargetMode="External"/><Relationship Id="rId1199" Type="http://schemas.openxmlformats.org/officeDocument/2006/relationships/hyperlink" Target="https://www.moex.com/ru/marketdata/" TargetMode="External"/><Relationship Id="rId331" Type="http://schemas.openxmlformats.org/officeDocument/2006/relationships/hyperlink" Target="https://www.moex.com/ru/marketdata/" TargetMode="External"/><Relationship Id="rId429" Type="http://schemas.openxmlformats.org/officeDocument/2006/relationships/hyperlink" Target="https://www.moex.com/ru/marketdata/" TargetMode="External"/><Relationship Id="rId636" Type="http://schemas.openxmlformats.org/officeDocument/2006/relationships/hyperlink" Target="https://ru.investing.com/equities/johnson-johnson-historical-data" TargetMode="External"/><Relationship Id="rId1059" Type="http://schemas.openxmlformats.org/officeDocument/2006/relationships/hyperlink" Target="https://www.moex.com/ru/marketdata/" TargetMode="External"/><Relationship Id="rId1266" Type="http://schemas.openxmlformats.org/officeDocument/2006/relationships/hyperlink" Target="https://ru.investing.com/equities/yext-inc-historical-data" TargetMode="External"/><Relationship Id="rId843" Type="http://schemas.openxmlformats.org/officeDocument/2006/relationships/hyperlink" Target="https://www.moex.com/ru/marketdata/" TargetMode="External"/><Relationship Id="rId1126" Type="http://schemas.openxmlformats.org/officeDocument/2006/relationships/hyperlink" Target="https://ru.investing.com/equities/tri-pointe-homes-historical-data" TargetMode="External"/><Relationship Id="rId275" Type="http://schemas.openxmlformats.org/officeDocument/2006/relationships/hyperlink" Target="https://ru.investing.com/equities/cleveland-cliffs-historical-data" TargetMode="External"/><Relationship Id="rId482" Type="http://schemas.openxmlformats.org/officeDocument/2006/relationships/hyperlink" Target="https://ru.investing.com/equities/first-energy-historical-data" TargetMode="External"/><Relationship Id="rId703" Type="http://schemas.openxmlformats.org/officeDocument/2006/relationships/hyperlink" Target="https://www.moex.com/ru/marketdata/" TargetMode="External"/><Relationship Id="rId910" Type="http://schemas.openxmlformats.org/officeDocument/2006/relationships/hyperlink" Target="https://ru.investing.com/equities/pulte-homes-inc-historical-data" TargetMode="External"/><Relationship Id="rId1333" Type="http://schemas.openxmlformats.org/officeDocument/2006/relationships/hyperlink" Target="https://ru.investing.com/etfs/global-x-robotics---ai-usd-historical-data" TargetMode="External"/><Relationship Id="rId135" Type="http://schemas.openxmlformats.org/officeDocument/2006/relationships/hyperlink" Target="https://ru.investing.com/equities/baker-hughes-historical-data" TargetMode="External"/><Relationship Id="rId342" Type="http://schemas.openxmlformats.org/officeDocument/2006/relationships/hyperlink" Target="https://ru.investing.com/equities/d.r.-horton-inc-historical-data" TargetMode="External"/><Relationship Id="rId787" Type="http://schemas.openxmlformats.org/officeDocument/2006/relationships/hyperlink" Target="https://www.moex.com/ru/marketdata/" TargetMode="External"/><Relationship Id="rId994" Type="http://schemas.openxmlformats.org/officeDocument/2006/relationships/hyperlink" Target="https://ru.investing.com/equities/snap-inc-historical-data" TargetMode="External"/><Relationship Id="rId202" Type="http://schemas.openxmlformats.org/officeDocument/2006/relationships/hyperlink" Target="https://www.moex.com/ru/marketdata/" TargetMode="External"/><Relationship Id="rId647" Type="http://schemas.openxmlformats.org/officeDocument/2006/relationships/hyperlink" Target="https://www.moex.com/ru/marketdata/" TargetMode="External"/><Relationship Id="rId854" Type="http://schemas.openxmlformats.org/officeDocument/2006/relationships/hyperlink" Target="https://ru.investing.com/equities/palo-alto-netwrk-historical-data" TargetMode="External"/><Relationship Id="rId1277" Type="http://schemas.openxmlformats.org/officeDocument/2006/relationships/hyperlink" Target="https://www.moex.com/ru/marketdata/" TargetMode="External"/><Relationship Id="rId286" Type="http://schemas.openxmlformats.org/officeDocument/2006/relationships/hyperlink" Target="https://www.moex.com/ru/marketdata/" TargetMode="External"/><Relationship Id="rId493" Type="http://schemas.openxmlformats.org/officeDocument/2006/relationships/hyperlink" Target="https://www.moex.com/ru/marketdata/" TargetMode="External"/><Relationship Id="rId507" Type="http://schemas.openxmlformats.org/officeDocument/2006/relationships/hyperlink" Target="https://www.moex.com/ru/marketdata/" TargetMode="External"/><Relationship Id="rId714" Type="http://schemas.openxmlformats.org/officeDocument/2006/relationships/hyperlink" Target="https://ru.investing.com/equities/marketaxess-holdi-historical-data" TargetMode="External"/><Relationship Id="rId921" Type="http://schemas.openxmlformats.org/officeDocument/2006/relationships/hyperlink" Target="https://www.moex.com/ru/marketdata/" TargetMode="External"/><Relationship Id="rId1137" Type="http://schemas.openxmlformats.org/officeDocument/2006/relationships/hyperlink" Target="https://www.moex.com/ru/marketdata/" TargetMode="External"/><Relationship Id="rId1344" Type="http://schemas.openxmlformats.org/officeDocument/2006/relationships/hyperlink" Target="https://ru.investing.com/etfs/spdr---health-care-historical-data" TargetMode="External"/><Relationship Id="rId50" Type="http://schemas.openxmlformats.org/officeDocument/2006/relationships/hyperlink" Target="https://www.moex.com/ru/marketdata/" TargetMode="External"/><Relationship Id="rId146" Type="http://schemas.openxmlformats.org/officeDocument/2006/relationships/hyperlink" Target="https://www.moex.com/ru/marketdata/" TargetMode="External"/><Relationship Id="rId353" Type="http://schemas.openxmlformats.org/officeDocument/2006/relationships/hyperlink" Target="https://www.moex.com/ru/marketdata/" TargetMode="External"/><Relationship Id="rId560" Type="http://schemas.openxmlformats.org/officeDocument/2006/relationships/hyperlink" Target="https://ru.investing.com/equities/hess-corp-historical-data" TargetMode="External"/><Relationship Id="rId798" Type="http://schemas.openxmlformats.org/officeDocument/2006/relationships/hyperlink" Target="https://ru.investing.com/equities/nike-historical-data" TargetMode="External"/><Relationship Id="rId1190" Type="http://schemas.openxmlformats.org/officeDocument/2006/relationships/hyperlink" Target="https://ru.investing.com/equities/vertex-pharm-historical-data" TargetMode="External"/><Relationship Id="rId1204" Type="http://schemas.openxmlformats.org/officeDocument/2006/relationships/hyperlink" Target="https://ru.investing.com/equities/vonage-holdings-corp-historical-data" TargetMode="External"/><Relationship Id="rId213" Type="http://schemas.openxmlformats.org/officeDocument/2006/relationships/hyperlink" Target="https://ru.investing.com/equities/us-auto-parts-network-historical-data" TargetMode="External"/><Relationship Id="rId420" Type="http://schemas.openxmlformats.org/officeDocument/2006/relationships/hyperlink" Target="https://ru.investing.com/equities/ehealth-historical-data" TargetMode="External"/><Relationship Id="rId658" Type="http://schemas.openxmlformats.org/officeDocument/2006/relationships/hyperlink" Target="https://ru.investing.com/equities/kla-tencor-corp-historical-data" TargetMode="External"/><Relationship Id="rId865" Type="http://schemas.openxmlformats.org/officeDocument/2006/relationships/hyperlink" Target="https://www.moex.com/ru/marketdata/" TargetMode="External"/><Relationship Id="rId1050" Type="http://schemas.openxmlformats.org/officeDocument/2006/relationships/hyperlink" Target="https://ru.investing.com/equities/coach-historical-data" TargetMode="External"/><Relationship Id="rId1288" Type="http://schemas.openxmlformats.org/officeDocument/2006/relationships/hyperlink" Target="https://ru.investing.com/equities/zscaler-inc-historical-data" TargetMode="External"/><Relationship Id="rId297" Type="http://schemas.openxmlformats.org/officeDocument/2006/relationships/hyperlink" Target="https://ru.investing.com/equities/comcast-corp-new-historical-data" TargetMode="External"/><Relationship Id="rId518" Type="http://schemas.openxmlformats.org/officeDocument/2006/relationships/hyperlink" Target="https://ru.investing.com/equities/gap.inc-historical-data" TargetMode="External"/><Relationship Id="rId725" Type="http://schemas.openxmlformats.org/officeDocument/2006/relationships/hyperlink" Target="https://www.moex.com/ru/marketdata/" TargetMode="External"/><Relationship Id="rId932" Type="http://schemas.openxmlformats.org/officeDocument/2006/relationships/hyperlink" Target="https://ru.investing.com/equities/polo-ralph-laur-historical-data" TargetMode="External"/><Relationship Id="rId1148" Type="http://schemas.openxmlformats.org/officeDocument/2006/relationships/hyperlink" Target="https://ru.investing.com/equities/uipath-historical-data" TargetMode="External"/><Relationship Id="rId1355" Type="http://schemas.openxmlformats.org/officeDocument/2006/relationships/hyperlink" Target="https://www.moex.com/ru/marketdata/" TargetMode="External"/><Relationship Id="rId157" Type="http://schemas.openxmlformats.org/officeDocument/2006/relationships/hyperlink" Target="https://ru.investing.com/equities/biogen-idec-inc-historical-data" TargetMode="External"/><Relationship Id="rId364" Type="http://schemas.openxmlformats.org/officeDocument/2006/relationships/hyperlink" Target="https://ru.investing.com/equities/devon-energy-historical-data" TargetMode="External"/><Relationship Id="rId1008" Type="http://schemas.openxmlformats.org/officeDocument/2006/relationships/hyperlink" Target="https://ru.investing.com/equities/sth-west-airlines-historical-data" TargetMode="External"/><Relationship Id="rId1215" Type="http://schemas.openxmlformats.org/officeDocument/2006/relationships/hyperlink" Target="https://www.moex.com/ru/marketdata/" TargetMode="External"/><Relationship Id="rId61" Type="http://schemas.openxmlformats.org/officeDocument/2006/relationships/hyperlink" Target="https://ru.investing.com/equities/altice-usa-inc-historical-data" TargetMode="External"/><Relationship Id="rId571" Type="http://schemas.openxmlformats.org/officeDocument/2006/relationships/hyperlink" Target="https://www.moex.com/ru/marketdata/" TargetMode="External"/><Relationship Id="rId669" Type="http://schemas.openxmlformats.org/officeDocument/2006/relationships/hyperlink" Target="https://www.moex.com/ru/marketdata/" TargetMode="External"/><Relationship Id="rId876" Type="http://schemas.openxmlformats.org/officeDocument/2006/relationships/hyperlink" Target="https://ru.investing.com/equities/pfizer-historical-data" TargetMode="External"/><Relationship Id="rId1299" Type="http://schemas.openxmlformats.org/officeDocument/2006/relationships/hyperlink" Target="https://www.moex.com/ru/marketdata/" TargetMode="External"/><Relationship Id="rId19" Type="http://schemas.openxmlformats.org/officeDocument/2006/relationships/hyperlink" Target="https://ru.investing.com/equities/abiomed-historical-data" TargetMode="External"/><Relationship Id="rId224" Type="http://schemas.openxmlformats.org/officeDocument/2006/relationships/hyperlink" Target="https://www.moex.com/ru/marketdata/" TargetMode="External"/><Relationship Id="rId431" Type="http://schemas.openxmlformats.org/officeDocument/2006/relationships/hyperlink" Target="https://www.moex.com/ru/marketdata/" TargetMode="External"/><Relationship Id="rId529" Type="http://schemas.openxmlformats.org/officeDocument/2006/relationships/hyperlink" Target="https://www.moex.com/ru/marketdata/" TargetMode="External"/><Relationship Id="rId736" Type="http://schemas.openxmlformats.org/officeDocument/2006/relationships/hyperlink" Target="https://ru.investing.com/equities/mckesson-corp-historical-data" TargetMode="External"/><Relationship Id="rId1061" Type="http://schemas.openxmlformats.org/officeDocument/2006/relationships/hyperlink" Target="https://www.moex.com/ru/marketdata/" TargetMode="External"/><Relationship Id="rId1159" Type="http://schemas.openxmlformats.org/officeDocument/2006/relationships/hyperlink" Target="https://www.moex.com/ru/marketdata/" TargetMode="External"/><Relationship Id="rId1366" Type="http://schemas.openxmlformats.org/officeDocument/2006/relationships/hyperlink" Target="https://www.moex.com/ru/marketdata/" TargetMode="External"/><Relationship Id="rId168" Type="http://schemas.openxmlformats.org/officeDocument/2006/relationships/hyperlink" Target="https://www.moex.com/ru/marketdata/" TargetMode="External"/><Relationship Id="rId943" Type="http://schemas.openxmlformats.org/officeDocument/2006/relationships/hyperlink" Target="https://www.moex.com/ru/marketdata/" TargetMode="External"/><Relationship Id="rId1019" Type="http://schemas.openxmlformats.org/officeDocument/2006/relationships/hyperlink" Target="https://www.moex.com/ru/marketdata/" TargetMode="External"/><Relationship Id="rId72" Type="http://schemas.openxmlformats.org/officeDocument/2006/relationships/hyperlink" Target="https://www.moex.com/ru/marketdata/" TargetMode="External"/><Relationship Id="rId375" Type="http://schemas.openxmlformats.org/officeDocument/2006/relationships/hyperlink" Target="https://www.moex.com/ru/marketdata/" TargetMode="External"/><Relationship Id="rId582" Type="http://schemas.openxmlformats.org/officeDocument/2006/relationships/hyperlink" Target="https://ru.investing.com/equities/tortoise-acquisition-corp-historical-data" TargetMode="External"/><Relationship Id="rId803" Type="http://schemas.openxmlformats.org/officeDocument/2006/relationships/hyperlink" Target="https://www.moex.com/ru/marketdata/" TargetMode="External"/><Relationship Id="rId1226" Type="http://schemas.openxmlformats.org/officeDocument/2006/relationships/hyperlink" Target="https://ru.investing.com/equities/wayfair-inc-historical-data" TargetMode="External"/><Relationship Id="rId3" Type="http://schemas.openxmlformats.org/officeDocument/2006/relationships/hyperlink" Target="https://ru.investing.com/equities/2seventy-bio-historical-data" TargetMode="External"/><Relationship Id="rId235" Type="http://schemas.openxmlformats.org/officeDocument/2006/relationships/hyperlink" Target="https://ru.investing.com/equities/cf-industries-historical-data" TargetMode="External"/><Relationship Id="rId442" Type="http://schemas.openxmlformats.org/officeDocument/2006/relationships/hyperlink" Target="https://ru.investing.com/equities/equitrans-midstream-historical-data" TargetMode="External"/><Relationship Id="rId887" Type="http://schemas.openxmlformats.org/officeDocument/2006/relationships/hyperlink" Target="https://www.moex.com/ru/marketdata/" TargetMode="External"/><Relationship Id="rId1072" Type="http://schemas.openxmlformats.org/officeDocument/2006/relationships/hyperlink" Target="https://ru.investing.com/equities/tesla-motors-historical-data" TargetMode="External"/><Relationship Id="rId302" Type="http://schemas.openxmlformats.org/officeDocument/2006/relationships/hyperlink" Target="https://www.moex.com/ru/marketdata/" TargetMode="External"/><Relationship Id="rId747" Type="http://schemas.openxmlformats.org/officeDocument/2006/relationships/hyperlink" Target="https://www.moex.com/ru/marketdata/" TargetMode="External"/><Relationship Id="rId954" Type="http://schemas.openxmlformats.org/officeDocument/2006/relationships/hyperlink" Target="https://ru.investing.com/equities/rockwell-automat-historical-data" TargetMode="External"/><Relationship Id="rId83" Type="http://schemas.openxmlformats.org/officeDocument/2006/relationships/hyperlink" Target="https://ru.investing.com/equities/ametek-inc-historical-data" TargetMode="External"/><Relationship Id="rId179" Type="http://schemas.openxmlformats.org/officeDocument/2006/relationships/hyperlink" Target="https://ru.investing.com/equities/borgwarner-historical-data" TargetMode="External"/><Relationship Id="rId386" Type="http://schemas.openxmlformats.org/officeDocument/2006/relationships/hyperlink" Target="https://ru.investing.com/equities/dominos-pizza-inc-historical-data" TargetMode="External"/><Relationship Id="rId593" Type="http://schemas.openxmlformats.org/officeDocument/2006/relationships/hyperlink" Target="https://www.moex.com/ru/marketdata/" TargetMode="External"/><Relationship Id="rId607" Type="http://schemas.openxmlformats.org/officeDocument/2006/relationships/hyperlink" Target="https://www.moex.com/ru/marketdata/" TargetMode="External"/><Relationship Id="rId814" Type="http://schemas.openxmlformats.org/officeDocument/2006/relationships/hyperlink" Target="https://ru.investing.com/equities/nutanix-inc-historical-data" TargetMode="External"/><Relationship Id="rId1237" Type="http://schemas.openxmlformats.org/officeDocument/2006/relationships/hyperlink" Target="https://www.moex.com/ru/marketdata/" TargetMode="External"/><Relationship Id="rId246" Type="http://schemas.openxmlformats.org/officeDocument/2006/relationships/hyperlink" Target="https://www.moex.com/ru/marketdata/" TargetMode="External"/><Relationship Id="rId453" Type="http://schemas.openxmlformats.org/officeDocument/2006/relationships/hyperlink" Target="https://www.moex.com/ru/marketdata/" TargetMode="External"/><Relationship Id="rId660" Type="http://schemas.openxmlformats.org/officeDocument/2006/relationships/hyperlink" Target="https://ru.investing.com/equities/knight-transportation-inc-historical-data" TargetMode="External"/><Relationship Id="rId898" Type="http://schemas.openxmlformats.org/officeDocument/2006/relationships/hyperlink" Target="https://ru.investing.com/equities/ppg-industries-historical-data" TargetMode="External"/><Relationship Id="rId1083" Type="http://schemas.openxmlformats.org/officeDocument/2006/relationships/hyperlink" Target="https://www.moex.com/ru/marketdata/" TargetMode="External"/><Relationship Id="rId1290" Type="http://schemas.openxmlformats.org/officeDocument/2006/relationships/hyperlink" Target="https://ru.investing.com/equities/zynerba-pharmaceuticals-inc-historical-data" TargetMode="External"/><Relationship Id="rId1304" Type="http://schemas.openxmlformats.org/officeDocument/2006/relationships/hyperlink" Target="https://ru.investing.com/equities/nio-inc-historical-data" TargetMode="External"/><Relationship Id="rId106" Type="http://schemas.openxmlformats.org/officeDocument/2006/relationships/hyperlink" Target="https://www.moex.com/ru/marketdata/" TargetMode="External"/><Relationship Id="rId313" Type="http://schemas.openxmlformats.org/officeDocument/2006/relationships/hyperlink" Target="https://www.moex.com/ru/marketdata/" TargetMode="External"/><Relationship Id="rId758" Type="http://schemas.openxmlformats.org/officeDocument/2006/relationships/hyperlink" Target="https://ru.investing.com/equities/moderna-historical-data" TargetMode="External"/><Relationship Id="rId965" Type="http://schemas.openxmlformats.org/officeDocument/2006/relationships/hyperlink" Target="https://www.moex.com/ru/marketdata/" TargetMode="External"/><Relationship Id="rId1150" Type="http://schemas.openxmlformats.org/officeDocument/2006/relationships/hyperlink" Target="https://ru.investing.com/equities/ulta-salon-cosmetics---fragrance-historical-data" TargetMode="External"/><Relationship Id="rId10" Type="http://schemas.openxmlformats.org/officeDocument/2006/relationships/hyperlink" Target="https://www.moex.com/ru/marketdata/" TargetMode="External"/><Relationship Id="rId94" Type="http://schemas.openxmlformats.org/officeDocument/2006/relationships/hyperlink" Target="https://www.moex.com/ru/marketdata/" TargetMode="External"/><Relationship Id="rId397" Type="http://schemas.openxmlformats.org/officeDocument/2006/relationships/hyperlink" Target="https://www.moex.com/ru/marketdata/" TargetMode="External"/><Relationship Id="rId520" Type="http://schemas.openxmlformats.org/officeDocument/2006/relationships/hyperlink" Target="https://ru.investing.com/equities/gartner-historical-data" TargetMode="External"/><Relationship Id="rId618" Type="http://schemas.openxmlformats.org/officeDocument/2006/relationships/hyperlink" Target="https://ru.investing.com/equities/isis-pharma-historical-data" TargetMode="External"/><Relationship Id="rId825" Type="http://schemas.openxmlformats.org/officeDocument/2006/relationships/hyperlink" Target="https://www.moex.com/ru/marketdata/" TargetMode="External"/><Relationship Id="rId1248" Type="http://schemas.openxmlformats.org/officeDocument/2006/relationships/hyperlink" Target="https://ru.investing.com/equities/w-w-grainger-inc-historical-data" TargetMode="External"/><Relationship Id="rId257" Type="http://schemas.openxmlformats.org/officeDocument/2006/relationships/hyperlink" Target="https://ru.investing.com/equities/church---dwight-historical-data" TargetMode="External"/><Relationship Id="rId464" Type="http://schemas.openxmlformats.org/officeDocument/2006/relationships/hyperlink" Target="https://ru.investing.com/equities/f5-networks-inc-historical-data" TargetMode="External"/><Relationship Id="rId1010" Type="http://schemas.openxmlformats.org/officeDocument/2006/relationships/hyperlink" Target="https://ru.investing.com/equities/southwestern-energy-company-historical-data" TargetMode="External"/><Relationship Id="rId1094" Type="http://schemas.openxmlformats.org/officeDocument/2006/relationships/hyperlink" Target="https://ru.investing.com/equities/home-depot-historical-data" TargetMode="External"/><Relationship Id="rId1108" Type="http://schemas.openxmlformats.org/officeDocument/2006/relationships/hyperlink" Target="https://ru.investing.com/equities/tjx-co-inc-historical-data" TargetMode="External"/><Relationship Id="rId1315" Type="http://schemas.openxmlformats.org/officeDocument/2006/relationships/hyperlink" Target="https://www.moex.com/ru/marketdata/" TargetMode="External"/><Relationship Id="rId117" Type="http://schemas.openxmlformats.org/officeDocument/2006/relationships/hyperlink" Target="https://ru.investing.com/equities/assurant-historical-data" TargetMode="External"/><Relationship Id="rId671" Type="http://schemas.openxmlformats.org/officeDocument/2006/relationships/hyperlink" Target="https://www.moex.com/ru/marketdata/" TargetMode="External"/><Relationship Id="rId769" Type="http://schemas.openxmlformats.org/officeDocument/2006/relationships/hyperlink" Target="https://www.moex.com/ru/marketdata/" TargetMode="External"/><Relationship Id="rId976" Type="http://schemas.openxmlformats.org/officeDocument/2006/relationships/hyperlink" Target="https://ru.investing.com/equities/sentinelone-historical-data" TargetMode="External"/><Relationship Id="rId324" Type="http://schemas.openxmlformats.org/officeDocument/2006/relationships/hyperlink" Target="https://ru.investing.com/equities/coty-inc-historical-data" TargetMode="External"/><Relationship Id="rId531" Type="http://schemas.openxmlformats.org/officeDocument/2006/relationships/hyperlink" Target="https://www.moex.com/ru/marketdata/" TargetMode="External"/><Relationship Id="rId629" Type="http://schemas.openxmlformats.org/officeDocument/2006/relationships/hyperlink" Target="https://www.moex.com/ru/marketdata/" TargetMode="External"/><Relationship Id="rId1161" Type="http://schemas.openxmlformats.org/officeDocument/2006/relationships/hyperlink" Target="https://www.moex.com/ru/marketdata/" TargetMode="External"/><Relationship Id="rId1259" Type="http://schemas.openxmlformats.org/officeDocument/2006/relationships/hyperlink" Target="https://www.moex.com/ru/marketdata/" TargetMode="External"/><Relationship Id="rId836" Type="http://schemas.openxmlformats.org/officeDocument/2006/relationships/hyperlink" Target="https://ru.investing.com/equities/oracle-corp-historical-data" TargetMode="External"/><Relationship Id="rId1021" Type="http://schemas.openxmlformats.org/officeDocument/2006/relationships/hyperlink" Target="https://www.moex.com/ru/marketdata/" TargetMode="External"/><Relationship Id="rId1119" Type="http://schemas.openxmlformats.org/officeDocument/2006/relationships/hyperlink" Target="https://www.moex.com/ru/marketdata/" TargetMode="External"/><Relationship Id="rId903" Type="http://schemas.openxmlformats.org/officeDocument/2006/relationships/hyperlink" Target="https://www.moex.com/ru/marketdata/" TargetMode="External"/><Relationship Id="rId1326" Type="http://schemas.openxmlformats.org/officeDocument/2006/relationships/hyperlink" Target="https://ru.investing.com/equities/google-inc-historical-data" TargetMode="External"/><Relationship Id="rId32" Type="http://schemas.openxmlformats.org/officeDocument/2006/relationships/hyperlink" Target="https://www.moex.com/ru/marketdata/" TargetMode="External"/><Relationship Id="rId181" Type="http://schemas.openxmlformats.org/officeDocument/2006/relationships/hyperlink" Target="https://ru.investing.com/equities/boston-scien-cp-historical-data" TargetMode="External"/><Relationship Id="rId279" Type="http://schemas.openxmlformats.org/officeDocument/2006/relationships/hyperlink" Target="https://ru.investing.com/equities/cloudflare-inc-historical-data" TargetMode="External"/><Relationship Id="rId486" Type="http://schemas.openxmlformats.org/officeDocument/2006/relationships/hyperlink" Target="https://ru.investing.com/equities/five9-inc-historical-data" TargetMode="External"/><Relationship Id="rId693" Type="http://schemas.openxmlformats.org/officeDocument/2006/relationships/hyperlink" Target="https://www.moex.com/ru/marketdata/" TargetMode="External"/><Relationship Id="rId139" Type="http://schemas.openxmlformats.org/officeDocument/2006/relationships/hyperlink" Target="https://ru.investing.com/equities/bank-of-america-historical-data" TargetMode="External"/><Relationship Id="rId346" Type="http://schemas.openxmlformats.org/officeDocument/2006/relationships/hyperlink" Target="https://ru.investing.com/equities/dardem-rest-historical-data" TargetMode="External"/><Relationship Id="rId553" Type="http://schemas.openxmlformats.org/officeDocument/2006/relationships/hyperlink" Target="https://www.moex.com/ru/marketdata/" TargetMode="External"/><Relationship Id="rId760" Type="http://schemas.openxmlformats.org/officeDocument/2006/relationships/hyperlink" Target="https://ru.investing.com/equities/mohawk-industries-historical-data" TargetMode="External"/><Relationship Id="rId998" Type="http://schemas.openxmlformats.org/officeDocument/2006/relationships/hyperlink" Target="https://ru.investing.com/equities/solaredge-technologies-inc-historical-data" TargetMode="External"/><Relationship Id="rId1183" Type="http://schemas.openxmlformats.org/officeDocument/2006/relationships/hyperlink" Target="https://www.moex.com/ru/marketdata/" TargetMode="External"/><Relationship Id="rId206" Type="http://schemas.openxmlformats.org/officeDocument/2006/relationships/hyperlink" Target="https://www.moex.com/ru/marketdata/" TargetMode="External"/><Relationship Id="rId413" Type="http://schemas.openxmlformats.org/officeDocument/2006/relationships/hyperlink" Target="https://www.moex.com/ru/marketdata/" TargetMode="External"/><Relationship Id="rId858" Type="http://schemas.openxmlformats.org/officeDocument/2006/relationships/hyperlink" Target="https://ru.investing.com/equities/paychex-inc-historical-data" TargetMode="External"/><Relationship Id="rId1043" Type="http://schemas.openxmlformats.org/officeDocument/2006/relationships/hyperlink" Target="https://www.moex.com/ru/marketdata/" TargetMode="External"/><Relationship Id="rId620" Type="http://schemas.openxmlformats.org/officeDocument/2006/relationships/hyperlink" Target="https://ru.investing.com/equities/lion-biotechnologies-historical-data" TargetMode="External"/><Relationship Id="rId718" Type="http://schemas.openxmlformats.org/officeDocument/2006/relationships/hyperlink" Target="https://ru.investing.com/equities/marriott-intl-historical-data" TargetMode="External"/><Relationship Id="rId925" Type="http://schemas.openxmlformats.org/officeDocument/2006/relationships/hyperlink" Target="https://www.moex.com/ru/marketdata/" TargetMode="External"/><Relationship Id="rId1250" Type="http://schemas.openxmlformats.org/officeDocument/2006/relationships/hyperlink" Target="https://ru.investing.com/equities/weight-watcher-historical-data" TargetMode="External"/><Relationship Id="rId1348" Type="http://schemas.openxmlformats.org/officeDocument/2006/relationships/hyperlink" Target="https://ru.investing.com/etfs/vanguard-s-p-500-historical-data" TargetMode="External"/><Relationship Id="rId1110" Type="http://schemas.openxmlformats.org/officeDocument/2006/relationships/hyperlink" Target="https://ru.investing.com/equities/trade-desk-inc-historical-data" TargetMode="External"/><Relationship Id="rId1208" Type="http://schemas.openxmlformats.org/officeDocument/2006/relationships/hyperlink" Target="https://ru.investing.com/equities/vulcan-matrls-historical-data" TargetMode="External"/><Relationship Id="rId54" Type="http://schemas.openxmlformats.org/officeDocument/2006/relationships/hyperlink" Target="https://www.moex.com/ru/marketdata/" TargetMode="External"/><Relationship Id="rId270" Type="http://schemas.openxmlformats.org/officeDocument/2006/relationships/hyperlink" Target="https://www.moex.com/ru/marketdata/" TargetMode="External"/><Relationship Id="rId130" Type="http://schemas.openxmlformats.org/officeDocument/2006/relationships/hyperlink" Target="https://www.moex.com/ru/marketdata/" TargetMode="External"/><Relationship Id="rId368" Type="http://schemas.openxmlformats.org/officeDocument/2006/relationships/hyperlink" Target="https://ru.investing.com/equities/diamondback-energy-inc-historical-data" TargetMode="External"/><Relationship Id="rId575" Type="http://schemas.openxmlformats.org/officeDocument/2006/relationships/hyperlink" Target="https://www.moex.com/ru/marketdata/" TargetMode="External"/><Relationship Id="rId782" Type="http://schemas.openxmlformats.org/officeDocument/2006/relationships/hyperlink" Target="https://ru.investing.com/equities/navient-cor-historical-data" TargetMode="External"/><Relationship Id="rId228" Type="http://schemas.openxmlformats.org/officeDocument/2006/relationships/hyperlink" Target="https://www.moex.com/ru/marketdata/" TargetMode="External"/><Relationship Id="rId435" Type="http://schemas.openxmlformats.org/officeDocument/2006/relationships/hyperlink" Target="https://www.moex.com/ru/marketdata/" TargetMode="External"/><Relationship Id="rId642" Type="http://schemas.openxmlformats.org/officeDocument/2006/relationships/hyperlink" Target="https://ru.investing.com/equities/kansas-city-southern-inc-historical-data" TargetMode="External"/><Relationship Id="rId1065" Type="http://schemas.openxmlformats.org/officeDocument/2006/relationships/hyperlink" Target="https://www.moex.com/ru/marketdata/" TargetMode="External"/><Relationship Id="rId1272" Type="http://schemas.openxmlformats.org/officeDocument/2006/relationships/hyperlink" Target="https://ru.investing.com/equities/zebra-tech-historical-data" TargetMode="External"/><Relationship Id="rId502" Type="http://schemas.openxmlformats.org/officeDocument/2006/relationships/hyperlink" Target="https://ru.investing.com/equities/fortive-corp-historical-data" TargetMode="External"/><Relationship Id="rId947" Type="http://schemas.openxmlformats.org/officeDocument/2006/relationships/hyperlink" Target="https://www.moex.com/ru/marketdata/" TargetMode="External"/><Relationship Id="rId1132" Type="http://schemas.openxmlformats.org/officeDocument/2006/relationships/hyperlink" Target="https://ru.investing.com/equities/bb-t-corp-historical-data" TargetMode="External"/><Relationship Id="rId76" Type="http://schemas.openxmlformats.org/officeDocument/2006/relationships/hyperlink" Target="https://www.moex.com/ru/marketdata/" TargetMode="External"/><Relationship Id="rId807" Type="http://schemas.openxmlformats.org/officeDocument/2006/relationships/hyperlink" Target="https://www.moex.com/ru/marketdata/" TargetMode="External"/><Relationship Id="rId292" Type="http://schemas.openxmlformats.org/officeDocument/2006/relationships/hyperlink" Target="https://www.moex.com/ru/marketdata/" TargetMode="External"/><Relationship Id="rId597" Type="http://schemas.openxmlformats.org/officeDocument/2006/relationships/hyperlink" Target="https://www.moex.com/ru/marketdata/" TargetMode="External"/><Relationship Id="rId152" Type="http://schemas.openxmlformats.org/officeDocument/2006/relationships/hyperlink" Target="https://www.moex.com/ru/marketdata/" TargetMode="External"/><Relationship Id="rId457" Type="http://schemas.openxmlformats.org/officeDocument/2006/relationships/hyperlink" Target="https://www.moex.com/ru/marketdata/" TargetMode="External"/><Relationship Id="rId1087" Type="http://schemas.openxmlformats.org/officeDocument/2006/relationships/hyperlink" Target="https://www.moex.com/ru/marketdata/" TargetMode="External"/><Relationship Id="rId1294" Type="http://schemas.openxmlformats.org/officeDocument/2006/relationships/hyperlink" Target="https://ru.investing.com/equities/baidu.com-historical-data" TargetMode="External"/><Relationship Id="rId664" Type="http://schemas.openxmlformats.org/officeDocument/2006/relationships/hyperlink" Target="https://ru.investing.com/equities/kraft-foods-inc-historical-data" TargetMode="External"/><Relationship Id="rId871" Type="http://schemas.openxmlformats.org/officeDocument/2006/relationships/hyperlink" Target="https://www.moex.com/ru/marketdata/" TargetMode="External"/><Relationship Id="rId969" Type="http://schemas.openxmlformats.org/officeDocument/2006/relationships/hyperlink" Target="https://www.moex.com/ru/marketdata/" TargetMode="External"/><Relationship Id="rId317" Type="http://schemas.openxmlformats.org/officeDocument/2006/relationships/hyperlink" Target="https://www.moex.com/ru/marketdata/" TargetMode="External"/><Relationship Id="rId524" Type="http://schemas.openxmlformats.org/officeDocument/2006/relationships/hyperlink" Target="https://ru.investing.com/equities/generac-holdings-historical-data" TargetMode="External"/><Relationship Id="rId731" Type="http://schemas.openxmlformats.org/officeDocument/2006/relationships/hyperlink" Target="https://www.moex.com/ru/marketdata/" TargetMode="External"/><Relationship Id="rId1154" Type="http://schemas.openxmlformats.org/officeDocument/2006/relationships/hyperlink" Target="https://ru.investing.com/equities/union-pacific-historical-data" TargetMode="External"/><Relationship Id="rId1361" Type="http://schemas.openxmlformats.org/officeDocument/2006/relationships/hyperlink" Target="https://www.moex.com/ru/marketdata/" TargetMode="External"/><Relationship Id="rId98" Type="http://schemas.openxmlformats.org/officeDocument/2006/relationships/hyperlink" Target="https://www.moex.com/ru/marketdata/" TargetMode="External"/><Relationship Id="rId829" Type="http://schemas.openxmlformats.org/officeDocument/2006/relationships/hyperlink" Target="https://www.moex.com/ru/marketdata/" TargetMode="External"/><Relationship Id="rId1014" Type="http://schemas.openxmlformats.org/officeDocument/2006/relationships/hyperlink" Target="https://ru.investing.com/equities/spirit-airlines-historical-data" TargetMode="External"/><Relationship Id="rId1221" Type="http://schemas.openxmlformats.org/officeDocument/2006/relationships/hyperlink" Target="https://www.moex.com/ru/marketdata/" TargetMode="External"/><Relationship Id="rId1319" Type="http://schemas.openxmlformats.org/officeDocument/2006/relationships/hyperlink" Target="https://www.moex.com/ru/marketdata/" TargetMode="External"/><Relationship Id="rId25" Type="http://schemas.openxmlformats.org/officeDocument/2006/relationships/hyperlink" Target="https://ru.investing.com/equities/activision-inc-historical-data" TargetMode="External"/><Relationship Id="rId174" Type="http://schemas.openxmlformats.org/officeDocument/2006/relationships/hyperlink" Target="https://www.moex.com/ru/marketdata/" TargetMode="External"/><Relationship Id="rId381" Type="http://schemas.openxmlformats.org/officeDocument/2006/relationships/hyperlink" Target="https://www.moex.com/ru/marketdata/" TargetMode="External"/><Relationship Id="rId241" Type="http://schemas.openxmlformats.org/officeDocument/2006/relationships/hyperlink" Target="https://ru.investing.com/equities/charles-river-laboratories-intl-historical-data" TargetMode="External"/><Relationship Id="rId479" Type="http://schemas.openxmlformats.org/officeDocument/2006/relationships/hyperlink" Target="https://www.moex.com/ru/marketdata/" TargetMode="External"/><Relationship Id="rId686" Type="http://schemas.openxmlformats.org/officeDocument/2006/relationships/hyperlink" Target="https://ru.investing.com/equities/livent-corp-historical-data?cid=1169614" TargetMode="External"/><Relationship Id="rId893" Type="http://schemas.openxmlformats.org/officeDocument/2006/relationships/hyperlink" Target="https://www.moex.com/ru/marketdata/" TargetMode="External"/><Relationship Id="rId339" Type="http://schemas.openxmlformats.org/officeDocument/2006/relationships/hyperlink" Target="https://www.moex.com/ru/marketdata/" TargetMode="External"/><Relationship Id="rId546" Type="http://schemas.openxmlformats.org/officeDocument/2006/relationships/hyperlink" Target="https://ru.investing.com/equities/halliburton-co-historical-data" TargetMode="External"/><Relationship Id="rId753" Type="http://schemas.openxmlformats.org/officeDocument/2006/relationships/hyperlink" Target="https://www.moex.com/ru/marketdata/" TargetMode="External"/><Relationship Id="rId1176" Type="http://schemas.openxmlformats.org/officeDocument/2006/relationships/hyperlink" Target="https://ru.investing.com/equities/valero-energy-historical-data" TargetMode="External"/><Relationship Id="rId101" Type="http://schemas.openxmlformats.org/officeDocument/2006/relationships/hyperlink" Target="https://ru.investing.com/equities/novus-capital-corp-historical-data" TargetMode="External"/><Relationship Id="rId406" Type="http://schemas.openxmlformats.org/officeDocument/2006/relationships/hyperlink" Target="https://ru.investing.com/equities/dynatrace-holdings-llc-historical-data" TargetMode="External"/><Relationship Id="rId960" Type="http://schemas.openxmlformats.org/officeDocument/2006/relationships/hyperlink" Target="https://ru.investing.com/equities/roper-industries-historical-data" TargetMode="External"/><Relationship Id="rId1036" Type="http://schemas.openxmlformats.org/officeDocument/2006/relationships/hyperlink" Target="https://ru.investing.com/equities/svb-financial-gro-historical-data" TargetMode="External"/><Relationship Id="rId1243" Type="http://schemas.openxmlformats.org/officeDocument/2006/relationships/hyperlink" Target="https://www.moex.com/ru/marketdata/" TargetMode="External"/><Relationship Id="rId613" Type="http://schemas.openxmlformats.org/officeDocument/2006/relationships/hyperlink" Target="https://www.moex.com/ru/marketdata/" TargetMode="External"/><Relationship Id="rId820" Type="http://schemas.openxmlformats.org/officeDocument/2006/relationships/hyperlink" Target="https://ru.investing.com/equities/occidental-petro-historical-data" TargetMode="External"/><Relationship Id="rId918" Type="http://schemas.openxmlformats.org/officeDocument/2006/relationships/hyperlink" Target="https://ru.investing.com/equities/qualcomm-inc-historical-data" TargetMode="External"/><Relationship Id="rId1103" Type="http://schemas.openxmlformats.org/officeDocument/2006/relationships/hyperlink" Target="https://www.moex.com/ru/marketdata/" TargetMode="External"/><Relationship Id="rId1310" Type="http://schemas.openxmlformats.org/officeDocument/2006/relationships/hyperlink" Target="https://ru.investing.com/equities/sap-ag-ads-exch-historical-data" TargetMode="External"/><Relationship Id="rId47" Type="http://schemas.openxmlformats.org/officeDocument/2006/relationships/hyperlink" Target="https://ru.investing.com/equities/alcoa-historical-data" TargetMode="External"/><Relationship Id="rId196" Type="http://schemas.openxmlformats.org/officeDocument/2006/relationships/hyperlink" Target="https://www.moex.com/ru/marketdata/" TargetMode="External"/><Relationship Id="rId263" Type="http://schemas.openxmlformats.org/officeDocument/2006/relationships/hyperlink" Target="https://ru.investing.com/equities/cintas-corp-historical-data" TargetMode="External"/><Relationship Id="rId470" Type="http://schemas.openxmlformats.org/officeDocument/2006/relationships/hyperlink" Target="https://ru.investing.com/equities/fedex-corp-historical-data" TargetMode="External"/><Relationship Id="rId123" Type="http://schemas.openxmlformats.org/officeDocument/2006/relationships/hyperlink" Target="https://ru.investing.com/equities/autodesk-inc-historical-data" TargetMode="External"/><Relationship Id="rId330" Type="http://schemas.openxmlformats.org/officeDocument/2006/relationships/hyperlink" Target="https://ru.investing.com/equities/coursera-historical-data" TargetMode="External"/><Relationship Id="rId568" Type="http://schemas.openxmlformats.org/officeDocument/2006/relationships/hyperlink" Target="https://ru.investing.com/equities/hologic-inc-historical-data" TargetMode="External"/><Relationship Id="rId775" Type="http://schemas.openxmlformats.org/officeDocument/2006/relationships/hyperlink" Target="https://www.moex.com/ru/marketdata/" TargetMode="External"/><Relationship Id="rId982" Type="http://schemas.openxmlformats.org/officeDocument/2006/relationships/hyperlink" Target="https://ru.investing.com/equities/shoals-technologies-group-historical-data" TargetMode="External"/><Relationship Id="rId1198" Type="http://schemas.openxmlformats.org/officeDocument/2006/relationships/hyperlink" Target="https://ru.investing.com/equities/social-capital-hedosophia-historical-data" TargetMode="External"/><Relationship Id="rId428" Type="http://schemas.openxmlformats.org/officeDocument/2006/relationships/hyperlink" Target="https://ru.investing.com/equities/eli-lilly-and-co-historical-data" TargetMode="External"/><Relationship Id="rId635" Type="http://schemas.openxmlformats.org/officeDocument/2006/relationships/hyperlink" Target="https://www.moex.com/ru/marketdata/" TargetMode="External"/><Relationship Id="rId842" Type="http://schemas.openxmlformats.org/officeDocument/2006/relationships/hyperlink" Target="https://ru.investing.com/equities/organon-co-historical-data" TargetMode="External"/><Relationship Id="rId1058" Type="http://schemas.openxmlformats.org/officeDocument/2006/relationships/hyperlink" Target="https://ru.investing.com/equities/tegna-inc-historical-data" TargetMode="External"/><Relationship Id="rId1265" Type="http://schemas.openxmlformats.org/officeDocument/2006/relationships/hyperlink" Target="https://www.moex.com/ru/marketdata/" TargetMode="External"/><Relationship Id="rId702" Type="http://schemas.openxmlformats.org/officeDocument/2006/relationships/hyperlink" Target="https://ru.investing.com/equities/gores-metropoulos-inc-historical-data?cid=1180692" TargetMode="External"/><Relationship Id="rId1125" Type="http://schemas.openxmlformats.org/officeDocument/2006/relationships/hyperlink" Target="https://www.moex.com/ru/marketdata/" TargetMode="External"/><Relationship Id="rId1332" Type="http://schemas.openxmlformats.org/officeDocument/2006/relationships/hyperlink" Target="https://ru.investing.com/etfs/global-x-lithium-historical-data" TargetMode="External"/><Relationship Id="rId69" Type="http://schemas.openxmlformats.org/officeDocument/2006/relationships/hyperlink" Target="https://ru.investing.com/equities/ameren-corp-historical-data" TargetMode="External"/><Relationship Id="rId285" Type="http://schemas.openxmlformats.org/officeDocument/2006/relationships/hyperlink" Target="https://ru.investing.com/equities/cms-energy-corp-historical-data" TargetMode="External"/><Relationship Id="rId492" Type="http://schemas.openxmlformats.org/officeDocument/2006/relationships/hyperlink" Target="https://ru.investing.com/equities/fluor-corp-historical-data" TargetMode="External"/><Relationship Id="rId797" Type="http://schemas.openxmlformats.org/officeDocument/2006/relationships/hyperlink" Target="https://www.moex.com/ru/marketdata/" TargetMode="External"/><Relationship Id="rId145" Type="http://schemas.openxmlformats.org/officeDocument/2006/relationships/hyperlink" Target="https://ru.investing.com/equities/becton-dickinsn-historical-data" TargetMode="External"/><Relationship Id="rId352" Type="http://schemas.openxmlformats.org/officeDocument/2006/relationships/hyperlink" Target="https://ru.investing.com/equities/dave-busters-entertainment-historical-data" TargetMode="External"/><Relationship Id="rId1287" Type="http://schemas.openxmlformats.org/officeDocument/2006/relationships/hyperlink" Target="https://www.moex.com/ru/marketdata/" TargetMode="External"/><Relationship Id="rId212" Type="http://schemas.openxmlformats.org/officeDocument/2006/relationships/hyperlink" Target="https://www.moex.com/ru/marketdata/" TargetMode="External"/><Relationship Id="rId657" Type="http://schemas.openxmlformats.org/officeDocument/2006/relationships/hyperlink" Target="https://www.moex.com/ru/marketdata/" TargetMode="External"/><Relationship Id="rId864" Type="http://schemas.openxmlformats.org/officeDocument/2006/relationships/hyperlink" Target="https://ru.investing.com/equities/pbf-energy-inc-historical-data" TargetMode="External"/><Relationship Id="rId517" Type="http://schemas.openxmlformats.org/officeDocument/2006/relationships/hyperlink" Target="https://www.moex.com/ru/marketdata/" TargetMode="External"/><Relationship Id="rId724" Type="http://schemas.openxmlformats.org/officeDocument/2006/relationships/hyperlink" Target="https://ru.investing.com/equities/masco-corp-historical-data" TargetMode="External"/><Relationship Id="rId931" Type="http://schemas.openxmlformats.org/officeDocument/2006/relationships/hyperlink" Target="https://www.moex.com/ru/marketdata/" TargetMode="External"/><Relationship Id="rId1147" Type="http://schemas.openxmlformats.org/officeDocument/2006/relationships/hyperlink" Target="https://www.moex.com/ru/marketdata/" TargetMode="External"/><Relationship Id="rId1354" Type="http://schemas.openxmlformats.org/officeDocument/2006/relationships/hyperlink" Target="https://www.moex.com/ru/marketdata/" TargetMode="External"/><Relationship Id="rId60" Type="http://schemas.openxmlformats.org/officeDocument/2006/relationships/hyperlink" Target="https://www.moex.com/ru/marketdata/" TargetMode="External"/><Relationship Id="rId1007" Type="http://schemas.openxmlformats.org/officeDocument/2006/relationships/hyperlink" Target="https://www.moex.com/ru/marketdata/" TargetMode="External"/><Relationship Id="rId1214" Type="http://schemas.openxmlformats.org/officeDocument/2006/relationships/hyperlink" Target="https://ru.investing.com/equities/westinghouse-air-brake-tech-historical-data" TargetMode="External"/><Relationship Id="rId18" Type="http://schemas.openxmlformats.org/officeDocument/2006/relationships/hyperlink" Target="https://www.moex.com/ru/marketdata/" TargetMode="External"/><Relationship Id="rId167" Type="http://schemas.openxmlformats.org/officeDocument/2006/relationships/hyperlink" Target="https://ru.investing.com/equities/the-blackstone-group-historical-data" TargetMode="External"/><Relationship Id="rId374" Type="http://schemas.openxmlformats.org/officeDocument/2006/relationships/hyperlink" Target="https://ru.investing.com/equities/discover-financl-historical-data" TargetMode="External"/><Relationship Id="rId581" Type="http://schemas.openxmlformats.org/officeDocument/2006/relationships/hyperlink" Target="https://www.moex.com/ru/marketdata/" TargetMode="External"/><Relationship Id="rId234" Type="http://schemas.openxmlformats.org/officeDocument/2006/relationships/hyperlink" Target="https://www.moex.com/ru/marketdata/" TargetMode="External"/><Relationship Id="rId679" Type="http://schemas.openxmlformats.org/officeDocument/2006/relationships/hyperlink" Target="https://www.moex.com/ru/marketdata/" TargetMode="External"/><Relationship Id="rId886" Type="http://schemas.openxmlformats.org/officeDocument/2006/relationships/hyperlink" Target="https://ru.investing.com/equities/pioneer-natural-resources-historical-data" TargetMode="External"/><Relationship Id="rId2" Type="http://schemas.openxmlformats.org/officeDocument/2006/relationships/hyperlink" Target="https://www.moex.com/ru/marketdata/" TargetMode="External"/><Relationship Id="rId441" Type="http://schemas.openxmlformats.org/officeDocument/2006/relationships/hyperlink" Target="https://www.moex.com/ru/marketdata/" TargetMode="External"/><Relationship Id="rId539" Type="http://schemas.openxmlformats.org/officeDocument/2006/relationships/hyperlink" Target="https://www.moex.com/ru/marketdata/" TargetMode="External"/><Relationship Id="rId746" Type="http://schemas.openxmlformats.org/officeDocument/2006/relationships/hyperlink" Target="https://ru.investing.com/equities/mgm-mirage-historical-data" TargetMode="External"/><Relationship Id="rId1071" Type="http://schemas.openxmlformats.org/officeDocument/2006/relationships/hyperlink" Target="https://www.moex.com/ru/marketdata/" TargetMode="External"/><Relationship Id="rId1169" Type="http://schemas.openxmlformats.org/officeDocument/2006/relationships/hyperlink" Target="https://www.moex.com/ru/marketdata/" TargetMode="External"/><Relationship Id="rId1376" Type="http://schemas.openxmlformats.org/officeDocument/2006/relationships/hyperlink" Target="https://ru.investing.com/equities/caterpillar-historical-data" TargetMode="External"/><Relationship Id="rId301" Type="http://schemas.openxmlformats.org/officeDocument/2006/relationships/hyperlink" Target="https://ru.investing.com/equities/conagra-foods-historical-data" TargetMode="External"/><Relationship Id="rId953" Type="http://schemas.openxmlformats.org/officeDocument/2006/relationships/hyperlink" Target="https://www.moex.com/ru/marketdata/" TargetMode="External"/><Relationship Id="rId1029" Type="http://schemas.openxmlformats.org/officeDocument/2006/relationships/hyperlink" Target="https://www.moex.com/ru/marketdata/" TargetMode="External"/><Relationship Id="rId1236" Type="http://schemas.openxmlformats.org/officeDocument/2006/relationships/hyperlink" Target="https://ru.investing.com/equities/westrock-co-historical-data" TargetMode="External"/><Relationship Id="rId82" Type="http://schemas.openxmlformats.org/officeDocument/2006/relationships/hyperlink" Target="https://www.moex.com/ru/marketdata/" TargetMode="External"/><Relationship Id="rId606" Type="http://schemas.openxmlformats.org/officeDocument/2006/relationships/hyperlink" Target="https://ru.investing.com/equities/intercontintlex-historical-data" TargetMode="External"/><Relationship Id="rId813" Type="http://schemas.openxmlformats.org/officeDocument/2006/relationships/hyperlink" Target="https://www.moex.com/ru/marketdata/" TargetMode="External"/><Relationship Id="rId1303" Type="http://schemas.openxmlformats.org/officeDocument/2006/relationships/hyperlink" Target="https://www.moex.com/ru/marketdata/" TargetMode="External"/><Relationship Id="rId189" Type="http://schemas.openxmlformats.org/officeDocument/2006/relationships/hyperlink" Target="https://ru.investing.com/equities/broadridge-financial-solutions-historical-data" TargetMode="External"/><Relationship Id="rId396" Type="http://schemas.openxmlformats.org/officeDocument/2006/relationships/hyperlink" Target="https://ru.investing.com/equities/diamond-eagle-acquisition-corp-historical-data?cid=1180683" TargetMode="External"/><Relationship Id="rId256" Type="http://schemas.openxmlformats.org/officeDocument/2006/relationships/hyperlink" Target="https://www.moex.com/ru/marketdata/" TargetMode="External"/><Relationship Id="rId463" Type="http://schemas.openxmlformats.org/officeDocument/2006/relationships/hyperlink" Target="https://www.moex.com/ru/marketdata/" TargetMode="External"/><Relationship Id="rId670" Type="http://schemas.openxmlformats.org/officeDocument/2006/relationships/hyperlink" Target="https://ru.investing.com/equities/lam-research-corp-historical-data" TargetMode="External"/><Relationship Id="rId1093" Type="http://schemas.openxmlformats.org/officeDocument/2006/relationships/hyperlink" Target="https://www.moex.com/ru/marketdata/" TargetMode="External"/><Relationship Id="rId116" Type="http://schemas.openxmlformats.org/officeDocument/2006/relationships/hyperlink" Target="https://www.moex.com/ru/marketdata/" TargetMode="External"/><Relationship Id="rId323" Type="http://schemas.openxmlformats.org/officeDocument/2006/relationships/hyperlink" Target="https://www.moex.com/ru/marketdata/" TargetMode="External"/><Relationship Id="rId530" Type="http://schemas.openxmlformats.org/officeDocument/2006/relationships/hyperlink" Target="https://ru.investing.com/equities/genuine-parts-co-historical-data" TargetMode="External"/><Relationship Id="rId768" Type="http://schemas.openxmlformats.org/officeDocument/2006/relationships/hyperlink" Target="https://ru.investing.com/equities/monster-beverage-historical-data" TargetMode="External"/><Relationship Id="rId975" Type="http://schemas.openxmlformats.org/officeDocument/2006/relationships/hyperlink" Target="https://www.moex.com/ru/marketdata/" TargetMode="External"/><Relationship Id="rId1160" Type="http://schemas.openxmlformats.org/officeDocument/2006/relationships/hyperlink" Target="https://ru.investing.com/equities/united-rentals-historical-data" TargetMode="External"/><Relationship Id="rId628" Type="http://schemas.openxmlformats.org/officeDocument/2006/relationships/hyperlink" Target="https://ru.investing.com/equities/j.b.-hunt-transpo-historical-data" TargetMode="External"/><Relationship Id="rId835" Type="http://schemas.openxmlformats.org/officeDocument/2006/relationships/hyperlink" Target="https://www.moex.com/ru/marketdata/" TargetMode="External"/><Relationship Id="rId1258" Type="http://schemas.openxmlformats.org/officeDocument/2006/relationships/hyperlink" Target="https://ru.investing.com/equities/xilinx-inc-historical-data" TargetMode="External"/><Relationship Id="rId1020" Type="http://schemas.openxmlformats.org/officeDocument/2006/relationships/hyperlink" Target="https://ru.investing.com/equities/sprts-frmr-historical-data" TargetMode="External"/><Relationship Id="rId1118" Type="http://schemas.openxmlformats.org/officeDocument/2006/relationships/hyperlink" Target="https://ru.investing.com/equities/metropcs-communications-historical-data" TargetMode="External"/><Relationship Id="rId1325" Type="http://schemas.openxmlformats.org/officeDocument/2006/relationships/hyperlink" Target="https://www.moex.com/ru/marketdata/" TargetMode="External"/><Relationship Id="rId902" Type="http://schemas.openxmlformats.org/officeDocument/2006/relationships/hyperlink" Target="https://ru.investing.com/equities/principal-fin-historical-data" TargetMode="External"/><Relationship Id="rId31" Type="http://schemas.openxmlformats.org/officeDocument/2006/relationships/hyperlink" Target="https://ru.investing.com/equities/adv-micro-device-historical-data" TargetMode="External"/><Relationship Id="rId180" Type="http://schemas.openxmlformats.org/officeDocument/2006/relationships/hyperlink" Target="https://www.moex.com/ru/marketdata/" TargetMode="External"/><Relationship Id="rId278" Type="http://schemas.openxmlformats.org/officeDocument/2006/relationships/hyperlink" Target="https://www.moex.com/ru/marketdata/" TargetMode="External"/><Relationship Id="rId485" Type="http://schemas.openxmlformats.org/officeDocument/2006/relationships/hyperlink" Target="https://www.moex.com/ru/marketdata/" TargetMode="External"/><Relationship Id="rId692" Type="http://schemas.openxmlformats.org/officeDocument/2006/relationships/hyperlink" Target="https://ru.investing.com/equities/diamondpeak-holdings-corp-historical-data" TargetMode="External"/><Relationship Id="rId138" Type="http://schemas.openxmlformats.org/officeDocument/2006/relationships/hyperlink" Target="https://www.moex.com/ru/marketdata/" TargetMode="External"/><Relationship Id="rId345" Type="http://schemas.openxmlformats.org/officeDocument/2006/relationships/hyperlink" Target="https://www.moex.com/ru/marketdata/" TargetMode="External"/><Relationship Id="rId552" Type="http://schemas.openxmlformats.org/officeDocument/2006/relationships/hyperlink" Target="https://ru.investing.com/equities/hasbro-inc-historical-data" TargetMode="External"/><Relationship Id="rId997" Type="http://schemas.openxmlformats.org/officeDocument/2006/relationships/hyperlink" Target="https://www.moex.com/ru/marketdata/" TargetMode="External"/><Relationship Id="rId1182" Type="http://schemas.openxmlformats.org/officeDocument/2006/relationships/hyperlink" Target="https://ru.investing.com/equities/allscripts-misys-healthcre-solution-historical-data" TargetMode="External"/><Relationship Id="rId205" Type="http://schemas.openxmlformats.org/officeDocument/2006/relationships/hyperlink" Target="https://ru.investing.com/equities/cara-therapeutic-historical-data?cid=1185081" TargetMode="External"/><Relationship Id="rId412" Type="http://schemas.openxmlformats.org/officeDocument/2006/relationships/hyperlink" Target="https://ru.investing.com/equities/ecolab-inc-historical-data" TargetMode="External"/><Relationship Id="rId857" Type="http://schemas.openxmlformats.org/officeDocument/2006/relationships/hyperlink" Target="https://www.moex.com/ru/marketdata/" TargetMode="External"/><Relationship Id="rId1042" Type="http://schemas.openxmlformats.org/officeDocument/2006/relationships/hyperlink" Target="https://ru.investing.com/equities/synopsys-inc-historical-data" TargetMode="External"/><Relationship Id="rId717" Type="http://schemas.openxmlformats.org/officeDocument/2006/relationships/hyperlink" Target="https://www.moex.com/ru/marketdata/" TargetMode="External"/><Relationship Id="rId924" Type="http://schemas.openxmlformats.org/officeDocument/2006/relationships/hyperlink" Target="https://ru.investing.com/equities/kensington-capital-acquisition-historical-data" TargetMode="External"/><Relationship Id="rId1347" Type="http://schemas.openxmlformats.org/officeDocument/2006/relationships/hyperlink" Target="https://ru.investing.com/etfs/vanguard-information-tech-historical-data" TargetMode="External"/><Relationship Id="rId53" Type="http://schemas.openxmlformats.org/officeDocument/2006/relationships/hyperlink" Target="https://ru.investing.com/equities/allstate-corporation-historical-data" TargetMode="External"/><Relationship Id="rId1207" Type="http://schemas.openxmlformats.org/officeDocument/2006/relationships/hyperlink" Target="https://www.moex.com/ru/marketdata/" TargetMode="External"/><Relationship Id="rId367" Type="http://schemas.openxmlformats.org/officeDocument/2006/relationships/hyperlink" Target="https://www.moex.com/ru/marketdata/" TargetMode="External"/><Relationship Id="rId574" Type="http://schemas.openxmlformats.org/officeDocument/2006/relationships/hyperlink" Target="https://ru.investing.com/equities/howmet-aerospace-inc-historical-data" TargetMode="External"/><Relationship Id="rId227" Type="http://schemas.openxmlformats.org/officeDocument/2006/relationships/hyperlink" Target="https://ru.investing.com/equities/amerisourcebergn-historical-data" TargetMode="External"/><Relationship Id="rId781" Type="http://schemas.openxmlformats.org/officeDocument/2006/relationships/hyperlink" Target="https://www.moex.com/ru/marketdata/" TargetMode="External"/><Relationship Id="rId879" Type="http://schemas.openxmlformats.org/officeDocument/2006/relationships/hyperlink" Target="https://www.moex.com/ru/marketdata/" TargetMode="External"/><Relationship Id="rId434" Type="http://schemas.openxmlformats.org/officeDocument/2006/relationships/hyperlink" Target="https://ru.investing.com/equities/entergy-corp-historical-data" TargetMode="External"/><Relationship Id="rId641" Type="http://schemas.openxmlformats.org/officeDocument/2006/relationships/hyperlink" Target="https://www.moex.com/ru/marketdata/" TargetMode="External"/><Relationship Id="rId739" Type="http://schemas.openxmlformats.org/officeDocument/2006/relationships/hyperlink" Target="https://www.moex.com/ru/marketdata/" TargetMode="External"/><Relationship Id="rId1064" Type="http://schemas.openxmlformats.org/officeDocument/2006/relationships/hyperlink" Target="https://ru.investing.com/equities/telephone-and-data-systems-inc-historical-data" TargetMode="External"/><Relationship Id="rId1271" Type="http://schemas.openxmlformats.org/officeDocument/2006/relationships/hyperlink" Target="https://www.moex.com/ru/marketdata/" TargetMode="External"/><Relationship Id="rId1369" Type="http://schemas.openxmlformats.org/officeDocument/2006/relationships/hyperlink" Target="https://www.moex.com/ru/marketdata/" TargetMode="External"/><Relationship Id="rId501" Type="http://schemas.openxmlformats.org/officeDocument/2006/relationships/hyperlink" Target="https://www.moex.com/ru/marketdata/" TargetMode="External"/><Relationship Id="rId946" Type="http://schemas.openxmlformats.org/officeDocument/2006/relationships/hyperlink" Target="https://ru.investing.com/equities/resmed-inc-historical-data" TargetMode="External"/><Relationship Id="rId1131" Type="http://schemas.openxmlformats.org/officeDocument/2006/relationships/hyperlink" Target="https://www.moex.com/ru/marketdata/" TargetMode="External"/><Relationship Id="rId1229" Type="http://schemas.openxmlformats.org/officeDocument/2006/relationships/hyperlink" Target="https://www.moex.com/ru/marketdata/" TargetMode="External"/><Relationship Id="rId75" Type="http://schemas.openxmlformats.org/officeDocument/2006/relationships/hyperlink" Target="https://ru.investing.com/equities/american-express-historical-data" TargetMode="External"/><Relationship Id="rId806" Type="http://schemas.openxmlformats.org/officeDocument/2006/relationships/hyperlink" Target="https://ru.investing.com/equities/northern-trust-historical-data" TargetMode="External"/><Relationship Id="rId291" Type="http://schemas.openxmlformats.org/officeDocument/2006/relationships/hyperlink" Target="https://ru.investing.com/equities/cognizant-technology-solutio-historical-data" TargetMode="External"/><Relationship Id="rId151" Type="http://schemas.openxmlformats.org/officeDocument/2006/relationships/hyperlink" Target="https://ru.investing.com/equities/best-buy-historical-data" TargetMode="External"/><Relationship Id="rId389" Type="http://schemas.openxmlformats.org/officeDocument/2006/relationships/hyperlink" Target="https://www.moex.com/ru/marketdata/" TargetMode="External"/><Relationship Id="rId596" Type="http://schemas.openxmlformats.org/officeDocument/2006/relationships/hyperlink" Target="https://ru.investing.com/equities/ingersoll-rand-historical-data" TargetMode="External"/><Relationship Id="rId249" Type="http://schemas.openxmlformats.org/officeDocument/2006/relationships/hyperlink" Target="https://ru.investing.com/equities/chemours-co-historical-data" TargetMode="External"/><Relationship Id="rId456" Type="http://schemas.openxmlformats.org/officeDocument/2006/relationships/hyperlink" Target="https://ru.investing.com/equities/exelon-corp-historical-data" TargetMode="External"/><Relationship Id="rId663" Type="http://schemas.openxmlformats.org/officeDocument/2006/relationships/hyperlink" Target="https://www.moex.com/ru/marketdata/" TargetMode="External"/><Relationship Id="rId870" Type="http://schemas.openxmlformats.org/officeDocument/2006/relationships/hyperlink" Target="https://ru.investing.com/equities/peoples-united-financial-historical-data" TargetMode="External"/><Relationship Id="rId1086" Type="http://schemas.openxmlformats.org/officeDocument/2006/relationships/hyperlink" Target="https://ru.investing.com/equities/cooper-companies-inc-historical-data" TargetMode="External"/><Relationship Id="rId1293" Type="http://schemas.openxmlformats.org/officeDocument/2006/relationships/hyperlink" Target="https://www.moex.com/ru/marketdata/" TargetMode="External"/><Relationship Id="rId109" Type="http://schemas.openxmlformats.org/officeDocument/2006/relationships/hyperlink" Target="https://ru.investing.com/equities/archer-daniels-mid-historical-data" TargetMode="External"/><Relationship Id="rId316" Type="http://schemas.openxmlformats.org/officeDocument/2006/relationships/hyperlink" Target="https://ru.investing.com/equities/corteva-historical-data" TargetMode="External"/><Relationship Id="rId523" Type="http://schemas.openxmlformats.org/officeDocument/2006/relationships/hyperlink" Target="https://www.moex.com/ru/marketdata/" TargetMode="External"/><Relationship Id="rId968" Type="http://schemas.openxmlformats.org/officeDocument/2006/relationships/hyperlink" Target="https://ru.investing.com/equities/salesforce-com-historical-data" TargetMode="External"/><Relationship Id="rId1153" Type="http://schemas.openxmlformats.org/officeDocument/2006/relationships/hyperlink" Target="https://www.moex.com/ru/marketdata/" TargetMode="External"/><Relationship Id="rId97" Type="http://schemas.openxmlformats.org/officeDocument/2006/relationships/hyperlink" Target="https://ru.investing.com/equities/ansys-historical-data" TargetMode="External"/><Relationship Id="rId730" Type="http://schemas.openxmlformats.org/officeDocument/2006/relationships/hyperlink" Target="https://ru.investing.com/equities/mattel-inc-historical-data" TargetMode="External"/><Relationship Id="rId828" Type="http://schemas.openxmlformats.org/officeDocument/2006/relationships/hyperlink" Target="https://ru.investing.com/equities/old-dominion-freight-line-inc-historical-data" TargetMode="External"/><Relationship Id="rId1013" Type="http://schemas.openxmlformats.org/officeDocument/2006/relationships/hyperlink" Target="https://www.moex.com/ru/marketdata/" TargetMode="External"/><Relationship Id="rId1360" Type="http://schemas.openxmlformats.org/officeDocument/2006/relationships/hyperlink" Target="https://www.moex.com/ru/marketdata/" TargetMode="External"/><Relationship Id="rId1220" Type="http://schemas.openxmlformats.org/officeDocument/2006/relationships/hyperlink" Target="https://ru.investing.com/equities/discovery-holding-co-historical-data?cid=1177908" TargetMode="External"/><Relationship Id="rId1318" Type="http://schemas.openxmlformats.org/officeDocument/2006/relationships/hyperlink" Target="https://ru.investing.com/equities/toyota-historical-data" TargetMode="External"/><Relationship Id="rId24" Type="http://schemas.openxmlformats.org/officeDocument/2006/relationships/hyperlink" Target="https://www.moex.com/ru/marketdata/" TargetMode="External"/><Relationship Id="rId173" Type="http://schemas.openxmlformats.org/officeDocument/2006/relationships/hyperlink" Target="https://ru.investing.com/equities/bloomin-brands-inc-historical-data" TargetMode="External"/><Relationship Id="rId380" Type="http://schemas.openxmlformats.org/officeDocument/2006/relationships/hyperlink" Target="https://ru.investing.com/equities/dollar-general-corp-historical-data" TargetMode="External"/><Relationship Id="rId240" Type="http://schemas.openxmlformats.org/officeDocument/2006/relationships/hyperlink" Target="https://www.moex.com/ru/marketdata/" TargetMode="External"/><Relationship Id="rId478" Type="http://schemas.openxmlformats.org/officeDocument/2006/relationships/hyperlink" Target="https://ru.investing.com/equities/fifth-third-bk-historical-data" TargetMode="External"/><Relationship Id="rId685" Type="http://schemas.openxmlformats.org/officeDocument/2006/relationships/hyperlink" Target="https://www.moex.com/ru/marketdata/" TargetMode="External"/><Relationship Id="rId892" Type="http://schemas.openxmlformats.org/officeDocument/2006/relationships/hyperlink" Target="https://ru.investing.com/equities/plug-power-historical-data" TargetMode="External"/><Relationship Id="rId100" Type="http://schemas.openxmlformats.org/officeDocument/2006/relationships/hyperlink" Target="https://www.moex.com/ru/marketdata/" TargetMode="External"/><Relationship Id="rId338" Type="http://schemas.openxmlformats.org/officeDocument/2006/relationships/hyperlink" Target="https://ru.investing.com/equities/cummins-inc-historical-data" TargetMode="External"/><Relationship Id="rId545" Type="http://schemas.openxmlformats.org/officeDocument/2006/relationships/hyperlink" Target="https://www.moex.com/ru/marketdata/" TargetMode="External"/><Relationship Id="rId752" Type="http://schemas.openxmlformats.org/officeDocument/2006/relationships/hyperlink" Target="https://ru.investing.com/equities/microsoft-corp-historical-data" TargetMode="External"/><Relationship Id="rId1175" Type="http://schemas.openxmlformats.org/officeDocument/2006/relationships/hyperlink" Target="https://www.moex.com/ru/market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5315-C711-418C-BB10-3F0FD16BDC44}">
  <dimension ref="A1:AH794"/>
  <sheetViews>
    <sheetView tabSelected="1" workbookViewId="0">
      <selection activeCell="T1" sqref="T1:T1048576"/>
    </sheetView>
  </sheetViews>
  <sheetFormatPr defaultRowHeight="14.4" x14ac:dyDescent="0.3"/>
  <cols>
    <col min="1" max="1" width="6.33203125" bestFit="1" customWidth="1"/>
    <col min="2" max="2" width="14.6640625" customWidth="1"/>
    <col min="3" max="3" width="19" customWidth="1"/>
    <col min="4" max="4" width="11" customWidth="1"/>
    <col min="5" max="5" width="8.88671875" customWidth="1"/>
    <col min="7" max="7" width="13.5546875" customWidth="1"/>
    <col min="8" max="8" width="11.44140625" customWidth="1"/>
    <col min="9" max="9" width="9.44140625" customWidth="1"/>
    <col min="10" max="10" width="12.6640625" customWidth="1"/>
    <col min="11" max="12" width="9.44140625" customWidth="1"/>
    <col min="13" max="13" width="14.33203125" customWidth="1"/>
    <col min="14" max="14" width="14.6640625" customWidth="1"/>
    <col min="15" max="17" width="9.44140625" customWidth="1"/>
    <col min="18" max="18" width="7.33203125" bestFit="1" customWidth="1"/>
    <col min="21" max="21" width="9.44140625" customWidth="1"/>
  </cols>
  <sheetData>
    <row r="1" spans="1:34" x14ac:dyDescent="0.3">
      <c r="A1" s="1"/>
      <c r="B1" s="2"/>
      <c r="C1" s="1" t="s">
        <v>0</v>
      </c>
      <c r="D1" s="3"/>
      <c r="E1" s="1"/>
      <c r="F1" s="1"/>
      <c r="G1" s="4"/>
      <c r="H1" s="4"/>
      <c r="I1" s="5"/>
      <c r="J1" s="5"/>
      <c r="K1" s="6" t="s">
        <v>3908</v>
      </c>
      <c r="L1" s="1"/>
      <c r="M1" s="7"/>
      <c r="N1" s="8"/>
      <c r="O1" s="2"/>
      <c r="P1" s="1"/>
      <c r="Q1" s="1"/>
      <c r="R1" s="9"/>
      <c r="S1" s="1"/>
      <c r="T1" s="10"/>
    </row>
    <row r="2" spans="1:34" ht="86.4" customHeight="1" x14ac:dyDescent="0.3">
      <c r="A2" s="11" t="s">
        <v>1</v>
      </c>
      <c r="B2" s="11" t="s">
        <v>2</v>
      </c>
      <c r="C2" s="11" t="s">
        <v>3</v>
      </c>
      <c r="D2" s="11" t="s">
        <v>4</v>
      </c>
      <c r="E2" s="14" t="s">
        <v>17</v>
      </c>
      <c r="F2" s="14" t="s">
        <v>18</v>
      </c>
      <c r="G2" s="12" t="s">
        <v>5</v>
      </c>
      <c r="H2" s="12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3" t="s">
        <v>11</v>
      </c>
      <c r="N2" s="13" t="s">
        <v>12</v>
      </c>
      <c r="O2" s="11" t="s">
        <v>13</v>
      </c>
      <c r="P2" s="11" t="s">
        <v>14</v>
      </c>
      <c r="Q2" s="11" t="s">
        <v>15</v>
      </c>
      <c r="R2" s="11" t="s">
        <v>16</v>
      </c>
      <c r="S2" s="1"/>
      <c r="T2" s="10"/>
    </row>
    <row r="3" spans="1:34" x14ac:dyDescent="0.3">
      <c r="A3" s="11">
        <v>1</v>
      </c>
      <c r="B3" s="11">
        <v>2</v>
      </c>
      <c r="C3" s="11">
        <v>3</v>
      </c>
      <c r="D3" s="11">
        <v>4</v>
      </c>
      <c r="E3" s="11">
        <v>5</v>
      </c>
      <c r="F3" s="11">
        <v>6</v>
      </c>
      <c r="G3" s="11">
        <v>7</v>
      </c>
      <c r="H3" s="11">
        <v>8</v>
      </c>
      <c r="I3" s="11">
        <v>9</v>
      </c>
      <c r="J3" s="11">
        <v>10</v>
      </c>
      <c r="K3" s="11">
        <v>11</v>
      </c>
      <c r="L3" s="11">
        <v>12</v>
      </c>
      <c r="M3" s="15">
        <v>13</v>
      </c>
      <c r="N3" s="15">
        <v>14</v>
      </c>
      <c r="O3" s="11">
        <v>15</v>
      </c>
      <c r="P3" s="11">
        <v>16</v>
      </c>
      <c r="Q3" s="11">
        <v>17</v>
      </c>
      <c r="R3" s="11">
        <v>18</v>
      </c>
      <c r="S3" s="1"/>
      <c r="T3" s="10"/>
    </row>
    <row r="4" spans="1:34" s="30" customFormat="1" x14ac:dyDescent="0.3">
      <c r="A4" s="16">
        <v>1</v>
      </c>
      <c r="B4" s="17" t="s">
        <v>19</v>
      </c>
      <c r="C4" s="18" t="s">
        <v>20</v>
      </c>
      <c r="D4" s="19">
        <v>46017</v>
      </c>
      <c r="E4" s="28"/>
      <c r="F4" s="28"/>
      <c r="G4" s="20"/>
      <c r="H4" s="20"/>
      <c r="I4" s="21">
        <v>77.884399999999999</v>
      </c>
      <c r="J4" s="22">
        <f>ROUND(I4*H4,2)</f>
        <v>0</v>
      </c>
      <c r="K4" s="23" t="e">
        <f>ROUND(G4/J4,4)</f>
        <v>#DIV/0!</v>
      </c>
      <c r="L4" s="24" t="e">
        <f>1-K4</f>
        <v>#DIV/0!</v>
      </c>
      <c r="M4" s="25" t="s">
        <v>21</v>
      </c>
      <c r="N4" s="25" t="s">
        <v>22</v>
      </c>
      <c r="O4" s="26" t="s">
        <v>23</v>
      </c>
      <c r="P4" s="27" t="s">
        <v>24</v>
      </c>
      <c r="Q4" s="27" t="s">
        <v>25</v>
      </c>
      <c r="R4" s="21" t="s">
        <v>26</v>
      </c>
      <c r="S4" s="29">
        <v>1</v>
      </c>
      <c r="T4" s="1"/>
    </row>
    <row r="5" spans="1:34" s="30" customFormat="1" x14ac:dyDescent="0.3">
      <c r="A5" s="16">
        <v>2</v>
      </c>
      <c r="B5" s="17" t="s">
        <v>27</v>
      </c>
      <c r="C5" s="18" t="s">
        <v>28</v>
      </c>
      <c r="D5" s="19">
        <v>46017</v>
      </c>
      <c r="E5" s="28"/>
      <c r="F5" s="28"/>
      <c r="G5" s="20"/>
      <c r="H5" s="20"/>
      <c r="I5" s="21">
        <v>77.884399999999999</v>
      </c>
      <c r="J5" s="22">
        <f>ROUND(I5*H5,2)</f>
        <v>0</v>
      </c>
      <c r="K5" s="23" t="e">
        <f>ROUND(G5/J5,4)</f>
        <v>#DIV/0!</v>
      </c>
      <c r="L5" s="24" t="e">
        <f>1-K5</f>
        <v>#DIV/0!</v>
      </c>
      <c r="M5" s="25" t="s">
        <v>29</v>
      </c>
      <c r="N5" s="25" t="s">
        <v>30</v>
      </c>
      <c r="O5" s="26" t="s">
        <v>31</v>
      </c>
      <c r="P5" s="27" t="s">
        <v>32</v>
      </c>
      <c r="Q5" s="27" t="s">
        <v>25</v>
      </c>
      <c r="R5" s="21" t="s">
        <v>26</v>
      </c>
      <c r="S5" s="29">
        <v>2</v>
      </c>
      <c r="T5" s="1"/>
    </row>
    <row r="6" spans="1:34" s="30" customFormat="1" x14ac:dyDescent="0.3">
      <c r="A6" s="31">
        <v>3</v>
      </c>
      <c r="B6" s="32" t="s">
        <v>33</v>
      </c>
      <c r="C6" s="33" t="s">
        <v>34</v>
      </c>
      <c r="D6" s="19">
        <v>46017</v>
      </c>
      <c r="E6" s="28"/>
      <c r="F6" s="28"/>
      <c r="G6" s="20"/>
      <c r="H6" s="20"/>
      <c r="I6" s="21">
        <v>77.884399999999999</v>
      </c>
      <c r="J6" s="22">
        <f>ROUND(I6*H6,2)</f>
        <v>0</v>
      </c>
      <c r="K6" s="23" t="e">
        <f>ROUND(G6/J6,4)</f>
        <v>#DIV/0!</v>
      </c>
      <c r="L6" s="24" t="e">
        <f>1-K6</f>
        <v>#DIV/0!</v>
      </c>
      <c r="M6" s="25" t="s">
        <v>35</v>
      </c>
      <c r="N6" s="25" t="s">
        <v>36</v>
      </c>
      <c r="O6" s="26" t="s">
        <v>37</v>
      </c>
      <c r="P6" s="27" t="s">
        <v>38</v>
      </c>
      <c r="Q6" s="27" t="s">
        <v>25</v>
      </c>
      <c r="R6" s="21" t="s">
        <v>39</v>
      </c>
      <c r="S6" s="29">
        <v>3</v>
      </c>
      <c r="T6" s="1"/>
    </row>
    <row r="7" spans="1:34" s="30" customFormat="1" x14ac:dyDescent="0.3">
      <c r="A7" s="16">
        <v>4</v>
      </c>
      <c r="B7" s="17" t="s">
        <v>40</v>
      </c>
      <c r="C7" s="18" t="s">
        <v>41</v>
      </c>
      <c r="D7" s="19">
        <v>46017</v>
      </c>
      <c r="E7" s="28"/>
      <c r="F7" s="28"/>
      <c r="G7" s="20"/>
      <c r="H7" s="20"/>
      <c r="I7" s="21">
        <v>77.884399999999999</v>
      </c>
      <c r="J7" s="22">
        <f>ROUND(I7*H7,2)</f>
        <v>0</v>
      </c>
      <c r="K7" s="23" t="e">
        <f>ROUND(G7/J7,4)</f>
        <v>#DIV/0!</v>
      </c>
      <c r="L7" s="24" t="e">
        <f>1-K7</f>
        <v>#DIV/0!</v>
      </c>
      <c r="M7" s="25" t="s">
        <v>42</v>
      </c>
      <c r="N7" s="25" t="s">
        <v>43</v>
      </c>
      <c r="O7" s="26" t="s">
        <v>44</v>
      </c>
      <c r="P7" s="27" t="s">
        <v>45</v>
      </c>
      <c r="Q7" s="27" t="s">
        <v>25</v>
      </c>
      <c r="R7" s="64" t="s">
        <v>26</v>
      </c>
      <c r="S7" s="29">
        <v>4</v>
      </c>
      <c r="T7" s="1"/>
    </row>
    <row r="8" spans="1:34" s="30" customFormat="1" x14ac:dyDescent="0.3">
      <c r="A8" s="16">
        <v>5</v>
      </c>
      <c r="B8" s="17" t="s">
        <v>46</v>
      </c>
      <c r="C8" s="18" t="s">
        <v>47</v>
      </c>
      <c r="D8" s="19">
        <v>46017</v>
      </c>
      <c r="E8" s="28"/>
      <c r="F8" s="28"/>
      <c r="G8" s="20"/>
      <c r="H8" s="20"/>
      <c r="I8" s="21">
        <v>77.884399999999999</v>
      </c>
      <c r="J8" s="22">
        <f>ROUND(I8*H8,2)</f>
        <v>0</v>
      </c>
      <c r="K8" s="23" t="e">
        <f>ROUND(G8/J8,4)</f>
        <v>#DIV/0!</v>
      </c>
      <c r="L8" s="24" t="e">
        <f>1-K8</f>
        <v>#DIV/0!</v>
      </c>
      <c r="M8" s="25" t="s">
        <v>48</v>
      </c>
      <c r="N8" s="25" t="s">
        <v>49</v>
      </c>
      <c r="O8" s="26" t="s">
        <v>50</v>
      </c>
      <c r="P8" s="27" t="s">
        <v>51</v>
      </c>
      <c r="Q8" s="27" t="s">
        <v>25</v>
      </c>
      <c r="R8" s="21" t="s">
        <v>39</v>
      </c>
      <c r="S8" s="29">
        <v>5</v>
      </c>
      <c r="T8" s="1"/>
      <c r="W8"/>
      <c r="X8"/>
      <c r="Y8"/>
      <c r="Z8"/>
      <c r="AA8"/>
      <c r="AB8"/>
      <c r="AC8"/>
      <c r="AD8"/>
      <c r="AE8"/>
      <c r="AF8"/>
      <c r="AG8"/>
      <c r="AH8"/>
    </row>
    <row r="9" spans="1:34" s="30" customFormat="1" x14ac:dyDescent="0.3">
      <c r="A9" s="31">
        <v>6</v>
      </c>
      <c r="B9" s="32" t="s">
        <v>52</v>
      </c>
      <c r="C9" s="33" t="s">
        <v>53</v>
      </c>
      <c r="D9" s="19">
        <v>46017</v>
      </c>
      <c r="E9" s="28"/>
      <c r="F9" s="28"/>
      <c r="G9" s="20"/>
      <c r="H9" s="20"/>
      <c r="I9" s="21">
        <v>77.884399999999999</v>
      </c>
      <c r="J9" s="22">
        <f>ROUND(I9*H9,2)</f>
        <v>0</v>
      </c>
      <c r="K9" s="23" t="e">
        <f>ROUND(G9/J9,4)</f>
        <v>#DIV/0!</v>
      </c>
      <c r="L9" s="24" t="e">
        <f>1-K9</f>
        <v>#DIV/0!</v>
      </c>
      <c r="M9" s="25" t="s">
        <v>54</v>
      </c>
      <c r="N9" s="25" t="s">
        <v>55</v>
      </c>
      <c r="O9" s="26" t="s">
        <v>56</v>
      </c>
      <c r="P9" s="27" t="s">
        <v>57</v>
      </c>
      <c r="Q9" s="27" t="s">
        <v>25</v>
      </c>
      <c r="R9" s="64" t="s">
        <v>39</v>
      </c>
      <c r="S9" s="29">
        <v>6</v>
      </c>
      <c r="T9" s="1"/>
    </row>
    <row r="10" spans="1:34" s="30" customFormat="1" x14ac:dyDescent="0.3">
      <c r="A10" s="31">
        <v>7</v>
      </c>
      <c r="B10" s="32" t="s">
        <v>58</v>
      </c>
      <c r="C10" s="33" t="s">
        <v>59</v>
      </c>
      <c r="D10" s="19">
        <v>46017</v>
      </c>
      <c r="E10" s="28"/>
      <c r="F10" s="28"/>
      <c r="G10" s="20"/>
      <c r="H10" s="20"/>
      <c r="I10" s="21">
        <v>77.884399999999999</v>
      </c>
      <c r="J10" s="22">
        <f>ROUND(I10*H10,2)</f>
        <v>0</v>
      </c>
      <c r="K10" s="23" t="e">
        <f>ROUND(G10/J10,4)</f>
        <v>#DIV/0!</v>
      </c>
      <c r="L10" s="24" t="e">
        <f>1-K10</f>
        <v>#DIV/0!</v>
      </c>
      <c r="M10" s="25" t="s">
        <v>60</v>
      </c>
      <c r="N10" s="25" t="s">
        <v>61</v>
      </c>
      <c r="O10" s="26" t="s">
        <v>62</v>
      </c>
      <c r="P10" s="27" t="s">
        <v>57</v>
      </c>
      <c r="Q10" s="27" t="s">
        <v>25</v>
      </c>
      <c r="R10" s="64" t="s">
        <v>39</v>
      </c>
      <c r="S10" s="29">
        <v>7</v>
      </c>
      <c r="T10" s="1"/>
    </row>
    <row r="11" spans="1:34" s="30" customFormat="1" x14ac:dyDescent="0.3">
      <c r="A11" s="16">
        <v>8</v>
      </c>
      <c r="B11" s="17" t="s">
        <v>63</v>
      </c>
      <c r="C11" s="34" t="s">
        <v>64</v>
      </c>
      <c r="D11" s="19">
        <v>46017</v>
      </c>
      <c r="E11" s="28"/>
      <c r="F11" s="28"/>
      <c r="G11" s="20"/>
      <c r="H11" s="20"/>
      <c r="I11" s="21">
        <v>77.884399999999999</v>
      </c>
      <c r="J11" s="22">
        <f>ROUND(I11*H11,2)</f>
        <v>0</v>
      </c>
      <c r="K11" s="23" t="e">
        <f>ROUND(G11/J11,4)</f>
        <v>#DIV/0!</v>
      </c>
      <c r="L11" s="24" t="e">
        <f>1-K11</f>
        <v>#DIV/0!</v>
      </c>
      <c r="M11" s="25" t="s">
        <v>65</v>
      </c>
      <c r="N11" s="25" t="s">
        <v>66</v>
      </c>
      <c r="O11" s="26" t="s">
        <v>67</v>
      </c>
      <c r="P11" s="27" t="s">
        <v>68</v>
      </c>
      <c r="Q11" s="27" t="s">
        <v>25</v>
      </c>
      <c r="R11" s="21" t="s">
        <v>26</v>
      </c>
      <c r="S11" s="29">
        <v>8</v>
      </c>
      <c r="T11" s="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s="30" customFormat="1" x14ac:dyDescent="0.3">
      <c r="A12" s="16">
        <v>9</v>
      </c>
      <c r="B12" s="17" t="s">
        <v>69</v>
      </c>
      <c r="C12" s="18" t="s">
        <v>70</v>
      </c>
      <c r="D12" s="19">
        <v>46017</v>
      </c>
      <c r="E12" s="28"/>
      <c r="F12" s="28"/>
      <c r="G12" s="20"/>
      <c r="H12" s="20"/>
      <c r="I12" s="21">
        <v>77.884399999999999</v>
      </c>
      <c r="J12" s="22">
        <f>ROUND(I12*H12,2)</f>
        <v>0</v>
      </c>
      <c r="K12" s="23" t="e">
        <f>ROUND(G12/J12,4)</f>
        <v>#DIV/0!</v>
      </c>
      <c r="L12" s="24" t="e">
        <f>1-K12</f>
        <v>#DIV/0!</v>
      </c>
      <c r="M12" s="25" t="s">
        <v>71</v>
      </c>
      <c r="N12" s="25" t="s">
        <v>72</v>
      </c>
      <c r="O12" s="26" t="s">
        <v>73</v>
      </c>
      <c r="P12" s="27" t="s">
        <v>74</v>
      </c>
      <c r="Q12" s="27" t="s">
        <v>25</v>
      </c>
      <c r="R12" s="21" t="s">
        <v>26</v>
      </c>
      <c r="S12" s="29">
        <v>9</v>
      </c>
      <c r="T12" s="1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s="30" customFormat="1" x14ac:dyDescent="0.3">
      <c r="A13" s="16">
        <v>10</v>
      </c>
      <c r="B13" s="17" t="s">
        <v>75</v>
      </c>
      <c r="C13" s="34" t="s">
        <v>76</v>
      </c>
      <c r="D13" s="19">
        <v>46017</v>
      </c>
      <c r="E13" s="28"/>
      <c r="F13" s="28"/>
      <c r="G13" s="20"/>
      <c r="H13" s="20"/>
      <c r="I13" s="21">
        <v>77.884399999999999</v>
      </c>
      <c r="J13" s="22">
        <f>ROUND(I13*H13,2)</f>
        <v>0</v>
      </c>
      <c r="K13" s="23" t="e">
        <f>ROUND(G13/J13,4)</f>
        <v>#DIV/0!</v>
      </c>
      <c r="L13" s="24" t="e">
        <f>1-K13</f>
        <v>#DIV/0!</v>
      </c>
      <c r="M13" s="25" t="s">
        <v>77</v>
      </c>
      <c r="N13" s="25" t="s">
        <v>78</v>
      </c>
      <c r="O13" s="26" t="s">
        <v>79</v>
      </c>
      <c r="P13" s="27" t="s">
        <v>68</v>
      </c>
      <c r="Q13" s="27" t="s">
        <v>25</v>
      </c>
      <c r="R13" s="21" t="s">
        <v>26</v>
      </c>
      <c r="S13" s="29">
        <v>10</v>
      </c>
      <c r="T13" s="1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s="30" customFormat="1" x14ac:dyDescent="0.3">
      <c r="A14" s="16">
        <v>11</v>
      </c>
      <c r="B14" s="17" t="s">
        <v>80</v>
      </c>
      <c r="C14" s="18" t="s">
        <v>81</v>
      </c>
      <c r="D14" s="19">
        <v>46017</v>
      </c>
      <c r="E14" s="28"/>
      <c r="F14" s="28"/>
      <c r="G14" s="20"/>
      <c r="H14" s="20"/>
      <c r="I14" s="21">
        <v>77.884399999999999</v>
      </c>
      <c r="J14" s="22">
        <f>ROUND(I14*H14,2)</f>
        <v>0</v>
      </c>
      <c r="K14" s="23" t="e">
        <f>ROUND(G14/J14,4)</f>
        <v>#DIV/0!</v>
      </c>
      <c r="L14" s="24" t="e">
        <f>1-K14</f>
        <v>#DIV/0!</v>
      </c>
      <c r="M14" s="25" t="s">
        <v>82</v>
      </c>
      <c r="N14" s="25" t="s">
        <v>83</v>
      </c>
      <c r="O14" s="26" t="s">
        <v>84</v>
      </c>
      <c r="P14" s="27" t="s">
        <v>24</v>
      </c>
      <c r="Q14" s="27" t="s">
        <v>25</v>
      </c>
      <c r="R14" s="21" t="s">
        <v>26</v>
      </c>
      <c r="S14" s="29">
        <v>11</v>
      </c>
      <c r="T14" s="1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s="30" customFormat="1" x14ac:dyDescent="0.3">
      <c r="A15" s="31">
        <v>12</v>
      </c>
      <c r="B15" s="26" t="s">
        <v>85</v>
      </c>
      <c r="C15" s="27" t="s">
        <v>86</v>
      </c>
      <c r="D15" s="19">
        <v>46017</v>
      </c>
      <c r="E15" s="28"/>
      <c r="F15" s="28"/>
      <c r="G15" s="20"/>
      <c r="H15" s="20"/>
      <c r="I15" s="21">
        <v>77.884399999999999</v>
      </c>
      <c r="J15" s="22">
        <f>ROUND(I15*H15,2)</f>
        <v>0</v>
      </c>
      <c r="K15" s="23" t="e">
        <f>ROUND(G15/J15,4)</f>
        <v>#DIV/0!</v>
      </c>
      <c r="L15" s="24" t="e">
        <f>1-K15</f>
        <v>#DIV/0!</v>
      </c>
      <c r="M15" s="25"/>
      <c r="N15" s="25"/>
      <c r="O15" s="26" t="s">
        <v>87</v>
      </c>
      <c r="P15" s="27" t="s">
        <v>88</v>
      </c>
      <c r="Q15" s="27" t="s">
        <v>89</v>
      </c>
      <c r="R15" s="21" t="s">
        <v>39</v>
      </c>
      <c r="S15" s="29"/>
      <c r="T15" s="1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s="30" customFormat="1" x14ac:dyDescent="0.3">
      <c r="A16" s="16">
        <v>13</v>
      </c>
      <c r="B16" s="17" t="s">
        <v>90</v>
      </c>
      <c r="C16" s="18" t="s">
        <v>91</v>
      </c>
      <c r="D16" s="19">
        <v>46017</v>
      </c>
      <c r="E16" s="28"/>
      <c r="F16" s="28"/>
      <c r="G16" s="20"/>
      <c r="H16" s="20"/>
      <c r="I16" s="21">
        <v>77.884399999999999</v>
      </c>
      <c r="J16" s="22">
        <f>ROUND(I16*H16,2)</f>
        <v>0</v>
      </c>
      <c r="K16" s="23" t="e">
        <f>ROUND(G16/J16,4)</f>
        <v>#DIV/0!</v>
      </c>
      <c r="L16" s="24" t="e">
        <f>1-K16</f>
        <v>#DIV/0!</v>
      </c>
      <c r="M16" s="25" t="s">
        <v>92</v>
      </c>
      <c r="N16" s="25" t="s">
        <v>93</v>
      </c>
      <c r="O16" s="26" t="s">
        <v>94</v>
      </c>
      <c r="P16" s="27" t="s">
        <v>95</v>
      </c>
      <c r="Q16" s="27" t="s">
        <v>25</v>
      </c>
      <c r="R16" s="21" t="s">
        <v>26</v>
      </c>
      <c r="S16" s="29">
        <v>12</v>
      </c>
      <c r="T16" s="1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s="30" customFormat="1" x14ac:dyDescent="0.3">
      <c r="A17" s="31">
        <v>14</v>
      </c>
      <c r="B17" s="26" t="s">
        <v>96</v>
      </c>
      <c r="C17" s="27" t="s">
        <v>97</v>
      </c>
      <c r="D17" s="19">
        <v>46017</v>
      </c>
      <c r="E17" s="28"/>
      <c r="F17" s="28"/>
      <c r="G17" s="20"/>
      <c r="H17" s="20"/>
      <c r="I17" s="21">
        <v>77.884399999999999</v>
      </c>
      <c r="J17" s="22">
        <f>ROUND(I17*H17,2)</f>
        <v>0</v>
      </c>
      <c r="K17" s="23" t="e">
        <f>ROUND(G17/J17,4)</f>
        <v>#DIV/0!</v>
      </c>
      <c r="L17" s="24" t="e">
        <f>1-K17</f>
        <v>#DIV/0!</v>
      </c>
      <c r="M17" s="25"/>
      <c r="N17" s="25"/>
      <c r="O17" s="26" t="s">
        <v>98</v>
      </c>
      <c r="P17" s="27" t="s">
        <v>99</v>
      </c>
      <c r="Q17" s="27" t="s">
        <v>100</v>
      </c>
      <c r="R17" s="21" t="s">
        <v>101</v>
      </c>
      <c r="S17" s="29"/>
      <c r="T17" s="1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s="30" customFormat="1" x14ac:dyDescent="0.3">
      <c r="A18" s="31">
        <v>15</v>
      </c>
      <c r="B18" s="32" t="s">
        <v>102</v>
      </c>
      <c r="C18" s="33" t="s">
        <v>103</v>
      </c>
      <c r="D18" s="19">
        <v>46017</v>
      </c>
      <c r="E18" s="28"/>
      <c r="F18" s="28"/>
      <c r="G18" s="20"/>
      <c r="H18" s="20"/>
      <c r="I18" s="21">
        <v>77.884399999999999</v>
      </c>
      <c r="J18" s="22">
        <f>ROUND(I18*H18,2)</f>
        <v>0</v>
      </c>
      <c r="K18" s="23" t="e">
        <f>ROUND(G18/J18,4)</f>
        <v>#DIV/0!</v>
      </c>
      <c r="L18" s="24" t="e">
        <f>1-K18</f>
        <v>#DIV/0!</v>
      </c>
      <c r="M18" s="25" t="s">
        <v>104</v>
      </c>
      <c r="N18" s="25" t="s">
        <v>105</v>
      </c>
      <c r="O18" s="26" t="s">
        <v>106</v>
      </c>
      <c r="P18" s="27" t="s">
        <v>107</v>
      </c>
      <c r="Q18" s="27" t="s">
        <v>25</v>
      </c>
      <c r="R18" s="64" t="s">
        <v>39</v>
      </c>
      <c r="S18" s="29">
        <v>13</v>
      </c>
      <c r="T18" s="1"/>
    </row>
    <row r="19" spans="1:34" s="30" customFormat="1" x14ac:dyDescent="0.3">
      <c r="A19" s="16">
        <v>16</v>
      </c>
      <c r="B19" s="17" t="s">
        <v>108</v>
      </c>
      <c r="C19" s="34" t="s">
        <v>109</v>
      </c>
      <c r="D19" s="19">
        <v>46017</v>
      </c>
      <c r="E19" s="28"/>
      <c r="F19" s="28"/>
      <c r="G19" s="20"/>
      <c r="H19" s="20"/>
      <c r="I19" s="21">
        <v>77.884399999999999</v>
      </c>
      <c r="J19" s="22">
        <f>ROUND(I19*H19,2)</f>
        <v>0</v>
      </c>
      <c r="K19" s="23" t="e">
        <f>ROUND(G19/J19,4)</f>
        <v>#DIV/0!</v>
      </c>
      <c r="L19" s="24" t="e">
        <f>1-K19</f>
        <v>#DIV/0!</v>
      </c>
      <c r="M19" s="25" t="s">
        <v>110</v>
      </c>
      <c r="N19" s="25" t="s">
        <v>111</v>
      </c>
      <c r="O19" s="26" t="s">
        <v>112</v>
      </c>
      <c r="P19" s="27" t="s">
        <v>68</v>
      </c>
      <c r="Q19" s="27" t="s">
        <v>25</v>
      </c>
      <c r="R19" s="21" t="s">
        <v>26</v>
      </c>
      <c r="S19" s="29">
        <v>14</v>
      </c>
      <c r="T19" s="1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s="30" customFormat="1" x14ac:dyDescent="0.3">
      <c r="A20" s="31">
        <v>17</v>
      </c>
      <c r="B20" s="32" t="s">
        <v>113</v>
      </c>
      <c r="C20" s="33" t="s">
        <v>114</v>
      </c>
      <c r="D20" s="19">
        <v>46017</v>
      </c>
      <c r="E20" s="28"/>
      <c r="F20" s="28"/>
      <c r="G20" s="20"/>
      <c r="H20" s="20"/>
      <c r="I20" s="21">
        <v>77.884399999999999</v>
      </c>
      <c r="J20" s="22">
        <f>ROUND(I20*H20,2)</f>
        <v>0</v>
      </c>
      <c r="K20" s="23" t="e">
        <f>ROUND(G20/J20,4)</f>
        <v>#DIV/0!</v>
      </c>
      <c r="L20" s="24" t="e">
        <f>1-K20</f>
        <v>#DIV/0!</v>
      </c>
      <c r="M20" s="25" t="s">
        <v>115</v>
      </c>
      <c r="N20" s="25" t="s">
        <v>116</v>
      </c>
      <c r="O20" s="26" t="s">
        <v>117</v>
      </c>
      <c r="P20" s="27" t="s">
        <v>107</v>
      </c>
      <c r="Q20" s="27" t="s">
        <v>25</v>
      </c>
      <c r="R20" s="64" t="s">
        <v>39</v>
      </c>
      <c r="S20" s="29">
        <v>15</v>
      </c>
      <c r="T20" s="1"/>
    </row>
    <row r="21" spans="1:34" s="30" customFormat="1" x14ac:dyDescent="0.3">
      <c r="A21" s="16">
        <v>18</v>
      </c>
      <c r="B21" s="17" t="s">
        <v>118</v>
      </c>
      <c r="C21" s="18" t="s">
        <v>119</v>
      </c>
      <c r="D21" s="19">
        <v>46017</v>
      </c>
      <c r="E21" s="28"/>
      <c r="F21" s="28"/>
      <c r="G21" s="20"/>
      <c r="H21" s="20"/>
      <c r="I21" s="21">
        <v>77.884399999999999</v>
      </c>
      <c r="J21" s="22">
        <f>ROUND(I21*H21,2)</f>
        <v>0</v>
      </c>
      <c r="K21" s="23" t="e">
        <f>ROUND(G21/J21,4)</f>
        <v>#DIV/0!</v>
      </c>
      <c r="L21" s="24" t="e">
        <f>1-K21</f>
        <v>#DIV/0!</v>
      </c>
      <c r="M21" s="25" t="s">
        <v>120</v>
      </c>
      <c r="N21" s="25" t="s">
        <v>121</v>
      </c>
      <c r="O21" s="26" t="s">
        <v>122</v>
      </c>
      <c r="P21" s="27" t="s">
        <v>123</v>
      </c>
      <c r="Q21" s="27" t="s">
        <v>25</v>
      </c>
      <c r="R21" s="21" t="s">
        <v>39</v>
      </c>
      <c r="S21" s="29">
        <v>16</v>
      </c>
      <c r="T21" s="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30" customFormat="1" x14ac:dyDescent="0.3">
      <c r="A22" s="16">
        <v>19</v>
      </c>
      <c r="B22" s="17" t="s">
        <v>124</v>
      </c>
      <c r="C22" s="18" t="s">
        <v>125</v>
      </c>
      <c r="D22" s="19">
        <v>46017</v>
      </c>
      <c r="E22" s="28"/>
      <c r="F22" s="28"/>
      <c r="G22" s="20"/>
      <c r="H22" s="20"/>
      <c r="I22" s="21">
        <v>77.884399999999999</v>
      </c>
      <c r="J22" s="22">
        <f>ROUND(I22*H22,2)</f>
        <v>0</v>
      </c>
      <c r="K22" s="23" t="e">
        <f>ROUND(G22/J22,4)</f>
        <v>#DIV/0!</v>
      </c>
      <c r="L22" s="24" t="e">
        <f>1-K22</f>
        <v>#DIV/0!</v>
      </c>
      <c r="M22" s="25" t="s">
        <v>126</v>
      </c>
      <c r="N22" s="25" t="s">
        <v>127</v>
      </c>
      <c r="O22" s="26" t="s">
        <v>128</v>
      </c>
      <c r="P22" s="27" t="s">
        <v>74</v>
      </c>
      <c r="Q22" s="27" t="s">
        <v>25</v>
      </c>
      <c r="R22" s="21" t="s">
        <v>39</v>
      </c>
      <c r="S22" s="29">
        <v>17</v>
      </c>
      <c r="T22" s="1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s="30" customFormat="1" x14ac:dyDescent="0.3">
      <c r="A23" s="16">
        <v>20</v>
      </c>
      <c r="B23" s="17" t="s">
        <v>129</v>
      </c>
      <c r="C23" s="18" t="s">
        <v>130</v>
      </c>
      <c r="D23" s="19">
        <v>46017</v>
      </c>
      <c r="E23" s="28"/>
      <c r="F23" s="28"/>
      <c r="G23" s="20"/>
      <c r="H23" s="20"/>
      <c r="I23" s="21">
        <v>77.884399999999999</v>
      </c>
      <c r="J23" s="22">
        <f>ROUND(I23*H23,2)</f>
        <v>0</v>
      </c>
      <c r="K23" s="23" t="e">
        <f>ROUND(G23/J23,4)</f>
        <v>#DIV/0!</v>
      </c>
      <c r="L23" s="24" t="e">
        <f>1-K23</f>
        <v>#DIV/0!</v>
      </c>
      <c r="M23" s="25" t="s">
        <v>131</v>
      </c>
      <c r="N23" s="25" t="s">
        <v>132</v>
      </c>
      <c r="O23" s="26" t="s">
        <v>133</v>
      </c>
      <c r="P23" s="27" t="s">
        <v>134</v>
      </c>
      <c r="Q23" s="27" t="s">
        <v>25</v>
      </c>
      <c r="R23" s="21" t="s">
        <v>39</v>
      </c>
      <c r="S23" s="29">
        <v>18</v>
      </c>
      <c r="T23" s="1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s="30" customFormat="1" x14ac:dyDescent="0.3">
      <c r="A24" s="16">
        <v>21</v>
      </c>
      <c r="B24" s="17" t="s">
        <v>135</v>
      </c>
      <c r="C24" s="18" t="s">
        <v>136</v>
      </c>
      <c r="D24" s="19">
        <v>46017</v>
      </c>
      <c r="E24" s="28"/>
      <c r="F24" s="28"/>
      <c r="G24" s="20"/>
      <c r="H24" s="20"/>
      <c r="I24" s="21">
        <v>77.884399999999999</v>
      </c>
      <c r="J24" s="22">
        <f>ROUND(I24*H24,2)</f>
        <v>0</v>
      </c>
      <c r="K24" s="23" t="e">
        <f>ROUND(G24/J24,4)</f>
        <v>#DIV/0!</v>
      </c>
      <c r="L24" s="24" t="e">
        <f>1-K24</f>
        <v>#DIV/0!</v>
      </c>
      <c r="M24" s="25" t="s">
        <v>137</v>
      </c>
      <c r="N24" s="25" t="s">
        <v>138</v>
      </c>
      <c r="O24" s="26" t="s">
        <v>139</v>
      </c>
      <c r="P24" s="27" t="s">
        <v>140</v>
      </c>
      <c r="Q24" s="27" t="s">
        <v>25</v>
      </c>
      <c r="R24" s="64" t="s">
        <v>39</v>
      </c>
      <c r="S24" s="29">
        <v>19</v>
      </c>
      <c r="T24" s="1"/>
    </row>
    <row r="25" spans="1:34" s="30" customFormat="1" x14ac:dyDescent="0.3">
      <c r="A25" s="16">
        <v>22</v>
      </c>
      <c r="B25" s="17" t="s">
        <v>141</v>
      </c>
      <c r="C25" s="18" t="s">
        <v>142</v>
      </c>
      <c r="D25" s="19">
        <v>46017</v>
      </c>
      <c r="E25" s="28"/>
      <c r="F25" s="28"/>
      <c r="G25" s="20"/>
      <c r="H25" s="20"/>
      <c r="I25" s="21">
        <v>77.884399999999999</v>
      </c>
      <c r="J25" s="22">
        <f>ROUND(I25*H25,2)</f>
        <v>0</v>
      </c>
      <c r="K25" s="23" t="e">
        <f>ROUND(G25/J25,4)</f>
        <v>#DIV/0!</v>
      </c>
      <c r="L25" s="24" t="e">
        <f>1-K25</f>
        <v>#DIV/0!</v>
      </c>
      <c r="M25" s="25" t="s">
        <v>143</v>
      </c>
      <c r="N25" s="25" t="s">
        <v>144</v>
      </c>
      <c r="O25" s="26" t="s">
        <v>145</v>
      </c>
      <c r="P25" s="27" t="s">
        <v>146</v>
      </c>
      <c r="Q25" s="27" t="s">
        <v>25</v>
      </c>
      <c r="R25" s="64" t="s">
        <v>39</v>
      </c>
      <c r="S25" s="29">
        <v>20</v>
      </c>
      <c r="T25" s="1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s="30" customFormat="1" x14ac:dyDescent="0.3">
      <c r="A26" s="16">
        <v>23</v>
      </c>
      <c r="B26" s="17" t="s">
        <v>147</v>
      </c>
      <c r="C26" s="34" t="s">
        <v>148</v>
      </c>
      <c r="D26" s="19">
        <v>46017</v>
      </c>
      <c r="E26" s="28"/>
      <c r="F26" s="28"/>
      <c r="G26" s="20"/>
      <c r="H26" s="20"/>
      <c r="I26" s="21">
        <v>77.884399999999999</v>
      </c>
      <c r="J26" s="22">
        <f>ROUND(I26*H26,2)</f>
        <v>0</v>
      </c>
      <c r="K26" s="23" t="e">
        <f>ROUND(G26/J26,4)</f>
        <v>#DIV/0!</v>
      </c>
      <c r="L26" s="24" t="e">
        <f>1-K26</f>
        <v>#DIV/0!</v>
      </c>
      <c r="M26" s="25" t="s">
        <v>149</v>
      </c>
      <c r="N26" s="25" t="s">
        <v>150</v>
      </c>
      <c r="O26" s="26" t="s">
        <v>151</v>
      </c>
      <c r="P26" s="27" t="s">
        <v>152</v>
      </c>
      <c r="Q26" s="27" t="s">
        <v>25</v>
      </c>
      <c r="R26" s="21" t="s">
        <v>26</v>
      </c>
      <c r="S26" s="29">
        <v>21</v>
      </c>
      <c r="T26" s="1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s="30" customFormat="1" x14ac:dyDescent="0.3">
      <c r="A27" s="16">
        <v>24</v>
      </c>
      <c r="B27" s="17" t="s">
        <v>153</v>
      </c>
      <c r="C27" s="18" t="s">
        <v>154</v>
      </c>
      <c r="D27" s="19">
        <v>46017</v>
      </c>
      <c r="E27" s="28"/>
      <c r="F27" s="28"/>
      <c r="G27" s="20"/>
      <c r="H27" s="20"/>
      <c r="I27" s="21">
        <v>77.884399999999999</v>
      </c>
      <c r="J27" s="22">
        <f>ROUND(I27*H27,2)</f>
        <v>0</v>
      </c>
      <c r="K27" s="23" t="e">
        <f>ROUND(G27/J27,4)</f>
        <v>#DIV/0!</v>
      </c>
      <c r="L27" s="24" t="e">
        <f>1-K27</f>
        <v>#DIV/0!</v>
      </c>
      <c r="M27" s="25" t="s">
        <v>155</v>
      </c>
      <c r="N27" s="25" t="s">
        <v>156</v>
      </c>
      <c r="O27" s="26" t="s">
        <v>157</v>
      </c>
      <c r="P27" s="27" t="s">
        <v>134</v>
      </c>
      <c r="Q27" s="27" t="s">
        <v>25</v>
      </c>
      <c r="R27" s="21" t="s">
        <v>39</v>
      </c>
      <c r="S27" s="29">
        <v>22</v>
      </c>
      <c r="T27" s="1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s="30" customFormat="1" x14ac:dyDescent="0.3">
      <c r="A28" s="31">
        <v>25</v>
      </c>
      <c r="B28" s="32" t="s">
        <v>158</v>
      </c>
      <c r="C28" s="33" t="s">
        <v>159</v>
      </c>
      <c r="D28" s="19">
        <v>46017</v>
      </c>
      <c r="E28" s="28"/>
      <c r="F28" s="28"/>
      <c r="G28" s="20"/>
      <c r="H28" s="20"/>
      <c r="I28" s="21">
        <v>77.884399999999999</v>
      </c>
      <c r="J28" s="22">
        <f>ROUND(I28*H28,2)</f>
        <v>0</v>
      </c>
      <c r="K28" s="23" t="e">
        <f>ROUND(G28/J28,4)</f>
        <v>#DIV/0!</v>
      </c>
      <c r="L28" s="24" t="e">
        <f>1-K28</f>
        <v>#DIV/0!</v>
      </c>
      <c r="M28" s="25" t="s">
        <v>160</v>
      </c>
      <c r="N28" s="25" t="s">
        <v>161</v>
      </c>
      <c r="O28" s="26" t="s">
        <v>162</v>
      </c>
      <c r="P28" s="27" t="s">
        <v>163</v>
      </c>
      <c r="Q28" s="27" t="s">
        <v>25</v>
      </c>
      <c r="R28" s="64" t="s">
        <v>101</v>
      </c>
      <c r="S28" s="29">
        <v>23</v>
      </c>
      <c r="T28" s="1"/>
    </row>
    <row r="29" spans="1:34" s="30" customFormat="1" x14ac:dyDescent="0.3">
      <c r="A29" s="16">
        <v>26</v>
      </c>
      <c r="B29" s="17" t="s">
        <v>164</v>
      </c>
      <c r="C29" s="18" t="s">
        <v>165</v>
      </c>
      <c r="D29" s="19">
        <v>46017</v>
      </c>
      <c r="E29" s="28"/>
      <c r="F29" s="28"/>
      <c r="G29" s="20"/>
      <c r="H29" s="20"/>
      <c r="I29" s="21">
        <v>77.884399999999999</v>
      </c>
      <c r="J29" s="22">
        <f>ROUND(I29*H29,2)</f>
        <v>0</v>
      </c>
      <c r="K29" s="23" t="e">
        <f>ROUND(G29/J29,4)</f>
        <v>#DIV/0!</v>
      </c>
      <c r="L29" s="24" t="e">
        <f>1-K29</f>
        <v>#DIV/0!</v>
      </c>
      <c r="M29" s="25" t="s">
        <v>166</v>
      </c>
      <c r="N29" s="25" t="s">
        <v>167</v>
      </c>
      <c r="O29" s="26" t="s">
        <v>168</v>
      </c>
      <c r="P29" s="27" t="s">
        <v>74</v>
      </c>
      <c r="Q29" s="27" t="s">
        <v>25</v>
      </c>
      <c r="R29" s="21" t="s">
        <v>39</v>
      </c>
      <c r="S29" s="29">
        <v>24</v>
      </c>
      <c r="T29" s="1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s="30" customFormat="1" x14ac:dyDescent="0.3">
      <c r="A30" s="16">
        <v>27</v>
      </c>
      <c r="B30" s="17" t="s">
        <v>169</v>
      </c>
      <c r="C30" s="18" t="s">
        <v>170</v>
      </c>
      <c r="D30" s="19">
        <v>46017</v>
      </c>
      <c r="E30" s="28"/>
      <c r="F30" s="28"/>
      <c r="G30" s="20"/>
      <c r="H30" s="20"/>
      <c r="I30" s="21">
        <v>77.884399999999999</v>
      </c>
      <c r="J30" s="22">
        <f>ROUND(I30*H30,2)</f>
        <v>0</v>
      </c>
      <c r="K30" s="23" t="e">
        <f>ROUND(G30/J30,4)</f>
        <v>#DIV/0!</v>
      </c>
      <c r="L30" s="24" t="e">
        <f>1-K30</f>
        <v>#DIV/0!</v>
      </c>
      <c r="M30" s="25" t="s">
        <v>171</v>
      </c>
      <c r="N30" s="25" t="s">
        <v>172</v>
      </c>
      <c r="O30" s="26" t="s">
        <v>173</v>
      </c>
      <c r="P30" s="27" t="s">
        <v>174</v>
      </c>
      <c r="Q30" s="27" t="s">
        <v>25</v>
      </c>
      <c r="R30" s="21" t="s">
        <v>39</v>
      </c>
      <c r="S30" s="29">
        <v>25</v>
      </c>
      <c r="T30" s="1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s="30" customFormat="1" x14ac:dyDescent="0.3">
      <c r="A31" s="31">
        <v>28</v>
      </c>
      <c r="B31" s="26" t="s">
        <v>175</v>
      </c>
      <c r="C31" s="27" t="s">
        <v>176</v>
      </c>
      <c r="D31" s="19">
        <v>46017</v>
      </c>
      <c r="E31" s="28"/>
      <c r="F31" s="28"/>
      <c r="G31" s="20"/>
      <c r="H31" s="20"/>
      <c r="I31" s="21">
        <v>77.884399999999999</v>
      </c>
      <c r="J31" s="22">
        <f>ROUND(I31*H31,2)</f>
        <v>0</v>
      </c>
      <c r="K31" s="23" t="e">
        <f>ROUND(G31/J31,4)</f>
        <v>#DIV/0!</v>
      </c>
      <c r="L31" s="24" t="e">
        <f>1-K31</f>
        <v>#DIV/0!</v>
      </c>
      <c r="M31" s="25"/>
      <c r="N31" s="25"/>
      <c r="O31" s="26" t="s">
        <v>177</v>
      </c>
      <c r="P31" s="27" t="s">
        <v>178</v>
      </c>
      <c r="Q31" s="27" t="s">
        <v>100</v>
      </c>
      <c r="R31" s="21" t="s">
        <v>26</v>
      </c>
      <c r="S31" s="36"/>
      <c r="T31" s="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s="30" customFormat="1" x14ac:dyDescent="0.3">
      <c r="A32" s="16">
        <v>29</v>
      </c>
      <c r="B32" s="17" t="s">
        <v>179</v>
      </c>
      <c r="C32" s="34" t="s">
        <v>180</v>
      </c>
      <c r="D32" s="19">
        <v>46017</v>
      </c>
      <c r="E32" s="28"/>
      <c r="F32" s="28"/>
      <c r="G32" s="20"/>
      <c r="H32" s="20"/>
      <c r="I32" s="21">
        <v>77.884399999999999</v>
      </c>
      <c r="J32" s="22">
        <f>ROUND(I32*H32,2)</f>
        <v>0</v>
      </c>
      <c r="K32" s="23" t="e">
        <f>ROUND(G32/J32,4)</f>
        <v>#DIV/0!</v>
      </c>
      <c r="L32" s="24" t="e">
        <f>1-K32</f>
        <v>#DIV/0!</v>
      </c>
      <c r="M32" s="25" t="s">
        <v>181</v>
      </c>
      <c r="N32" s="25" t="s">
        <v>182</v>
      </c>
      <c r="O32" s="26" t="s">
        <v>183</v>
      </c>
      <c r="P32" s="27" t="s">
        <v>123</v>
      </c>
      <c r="Q32" s="27" t="s">
        <v>25</v>
      </c>
      <c r="R32" s="21" t="s">
        <v>39</v>
      </c>
      <c r="S32" s="29">
        <v>26</v>
      </c>
      <c r="T32" s="1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s="30" customFormat="1" x14ac:dyDescent="0.3">
      <c r="A33" s="16">
        <v>30</v>
      </c>
      <c r="B33" s="17" t="s">
        <v>184</v>
      </c>
      <c r="C33" s="18" t="s">
        <v>185</v>
      </c>
      <c r="D33" s="19">
        <v>46017</v>
      </c>
      <c r="E33" s="28"/>
      <c r="F33" s="28"/>
      <c r="G33" s="20"/>
      <c r="H33" s="20"/>
      <c r="I33" s="21">
        <v>77.884399999999999</v>
      </c>
      <c r="J33" s="22">
        <f>ROUND(I33*H33,2)</f>
        <v>0</v>
      </c>
      <c r="K33" s="23" t="e">
        <f>ROUND(G33/J33,4)</f>
        <v>#DIV/0!</v>
      </c>
      <c r="L33" s="24" t="e">
        <f>1-K33</f>
        <v>#DIV/0!</v>
      </c>
      <c r="M33" s="25" t="s">
        <v>186</v>
      </c>
      <c r="N33" s="25" t="s">
        <v>187</v>
      </c>
      <c r="O33" s="26" t="s">
        <v>188</v>
      </c>
      <c r="P33" s="27" t="s">
        <v>189</v>
      </c>
      <c r="Q33" s="27" t="s">
        <v>25</v>
      </c>
      <c r="R33" s="21" t="s">
        <v>26</v>
      </c>
      <c r="S33" s="29">
        <v>27</v>
      </c>
      <c r="T33" s="1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s="30" customFormat="1" x14ac:dyDescent="0.3">
      <c r="A34" s="31">
        <v>31</v>
      </c>
      <c r="B34" s="26" t="s">
        <v>190</v>
      </c>
      <c r="C34" s="27" t="s">
        <v>191</v>
      </c>
      <c r="D34" s="19">
        <v>46017</v>
      </c>
      <c r="E34" s="28"/>
      <c r="F34" s="28"/>
      <c r="G34" s="20"/>
      <c r="H34" s="20"/>
      <c r="I34" s="21">
        <v>77.884399999999999</v>
      </c>
      <c r="J34" s="22">
        <f>ROUND(I34*H34,2)</f>
        <v>0</v>
      </c>
      <c r="K34" s="23" t="e">
        <f>ROUND(G34/J34,4)</f>
        <v>#DIV/0!</v>
      </c>
      <c r="L34" s="24" t="e">
        <f>1-K34</f>
        <v>#DIV/0!</v>
      </c>
      <c r="M34" s="25" t="s">
        <v>192</v>
      </c>
      <c r="N34" s="25" t="s">
        <v>193</v>
      </c>
      <c r="O34" s="26" t="s">
        <v>194</v>
      </c>
      <c r="P34" s="27" t="s">
        <v>107</v>
      </c>
      <c r="Q34" s="27" t="s">
        <v>25</v>
      </c>
      <c r="R34" s="64" t="s">
        <v>39</v>
      </c>
      <c r="S34" s="29">
        <v>28</v>
      </c>
      <c r="T34" s="1"/>
    </row>
    <row r="35" spans="1:34" s="30" customFormat="1" x14ac:dyDescent="0.3">
      <c r="A35" s="31">
        <v>32</v>
      </c>
      <c r="B35" s="32" t="s">
        <v>195</v>
      </c>
      <c r="C35" s="33" t="s">
        <v>196</v>
      </c>
      <c r="D35" s="19">
        <v>46017</v>
      </c>
      <c r="E35" s="28"/>
      <c r="F35" s="28"/>
      <c r="G35" s="20"/>
      <c r="H35" s="20"/>
      <c r="I35" s="21">
        <v>77.884399999999999</v>
      </c>
      <c r="J35" s="22">
        <f>ROUND(I35*H35,2)</f>
        <v>0</v>
      </c>
      <c r="K35" s="23" t="e">
        <f>ROUND(G35/J35,4)</f>
        <v>#DIV/0!</v>
      </c>
      <c r="L35" s="24" t="e">
        <f>1-K35</f>
        <v>#DIV/0!</v>
      </c>
      <c r="M35" s="25" t="s">
        <v>197</v>
      </c>
      <c r="N35" s="25" t="s">
        <v>198</v>
      </c>
      <c r="O35" s="26" t="s">
        <v>3874</v>
      </c>
      <c r="P35" s="27" t="s">
        <v>107</v>
      </c>
      <c r="Q35" s="27" t="s">
        <v>25</v>
      </c>
      <c r="R35" s="64" t="s">
        <v>39</v>
      </c>
      <c r="S35" s="29">
        <v>29</v>
      </c>
      <c r="T35" s="1"/>
    </row>
    <row r="36" spans="1:34" s="30" customFormat="1" x14ac:dyDescent="0.3">
      <c r="A36" s="16">
        <v>33</v>
      </c>
      <c r="B36" s="17" t="s">
        <v>199</v>
      </c>
      <c r="C36" s="18" t="s">
        <v>200</v>
      </c>
      <c r="D36" s="19">
        <v>46017</v>
      </c>
      <c r="E36" s="28"/>
      <c r="F36" s="28"/>
      <c r="G36" s="20"/>
      <c r="H36" s="20"/>
      <c r="I36" s="21">
        <v>77.884399999999999</v>
      </c>
      <c r="J36" s="22">
        <f>ROUND(I36*H36,2)</f>
        <v>0</v>
      </c>
      <c r="K36" s="23" t="e">
        <f>ROUND(G36/J36,4)</f>
        <v>#DIV/0!</v>
      </c>
      <c r="L36" s="24" t="e">
        <f>1-K36</f>
        <v>#DIV/0!</v>
      </c>
      <c r="M36" s="25" t="s">
        <v>201</v>
      </c>
      <c r="N36" s="25" t="s">
        <v>202</v>
      </c>
      <c r="O36" s="26" t="s">
        <v>203</v>
      </c>
      <c r="P36" s="27" t="s">
        <v>32</v>
      </c>
      <c r="Q36" s="27" t="s">
        <v>25</v>
      </c>
      <c r="R36" s="21" t="s">
        <v>26</v>
      </c>
      <c r="S36" s="29">
        <v>30</v>
      </c>
      <c r="T36" s="1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s="30" customFormat="1" x14ac:dyDescent="0.3">
      <c r="A37" s="16">
        <v>34</v>
      </c>
      <c r="B37" s="17" t="s">
        <v>204</v>
      </c>
      <c r="C37" s="18" t="s">
        <v>205</v>
      </c>
      <c r="D37" s="19">
        <v>46017</v>
      </c>
      <c r="E37" s="28"/>
      <c r="F37" s="28"/>
      <c r="G37" s="20"/>
      <c r="H37" s="20"/>
      <c r="I37" s="21">
        <v>77.884399999999999</v>
      </c>
      <c r="J37" s="22">
        <f>ROUND(I37*H37,2)</f>
        <v>0</v>
      </c>
      <c r="K37" s="23" t="e">
        <f>ROUND(G37/J37,4)</f>
        <v>#DIV/0!</v>
      </c>
      <c r="L37" s="24" t="e">
        <f>1-K37</f>
        <v>#DIV/0!</v>
      </c>
      <c r="M37" s="25" t="s">
        <v>206</v>
      </c>
      <c r="N37" s="25" t="s">
        <v>207</v>
      </c>
      <c r="O37" s="26" t="s">
        <v>208</v>
      </c>
      <c r="P37" s="27" t="s">
        <v>45</v>
      </c>
      <c r="Q37" s="27" t="s">
        <v>25</v>
      </c>
      <c r="R37" s="21" t="s">
        <v>26</v>
      </c>
      <c r="S37" s="29">
        <v>31</v>
      </c>
      <c r="T37" s="1"/>
    </row>
    <row r="38" spans="1:34" s="30" customFormat="1" x14ac:dyDescent="0.3">
      <c r="A38" s="31">
        <v>35</v>
      </c>
      <c r="B38" s="26" t="s">
        <v>209</v>
      </c>
      <c r="C38" s="27" t="s">
        <v>210</v>
      </c>
      <c r="D38" s="19">
        <v>46017</v>
      </c>
      <c r="E38" s="28"/>
      <c r="F38" s="28"/>
      <c r="G38" s="20"/>
      <c r="H38" s="20"/>
      <c r="I38" s="21">
        <v>77.884399999999999</v>
      </c>
      <c r="J38" s="22">
        <f>ROUND(I38*H38,2)</f>
        <v>0</v>
      </c>
      <c r="K38" s="23" t="e">
        <f>ROUND(G38/J38,4)</f>
        <v>#DIV/0!</v>
      </c>
      <c r="L38" s="24" t="e">
        <f>1-K38</f>
        <v>#DIV/0!</v>
      </c>
      <c r="M38" s="25"/>
      <c r="N38" s="25"/>
      <c r="O38" s="26" t="s">
        <v>211</v>
      </c>
      <c r="P38" s="27" t="s">
        <v>212</v>
      </c>
      <c r="Q38" s="27" t="s">
        <v>25</v>
      </c>
      <c r="R38" s="21" t="s">
        <v>39</v>
      </c>
      <c r="S38" s="29"/>
      <c r="T38" s="1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s="30" customFormat="1" x14ac:dyDescent="0.3">
      <c r="A39" s="16">
        <v>36</v>
      </c>
      <c r="B39" s="17" t="s">
        <v>213</v>
      </c>
      <c r="C39" s="18" t="s">
        <v>214</v>
      </c>
      <c r="D39" s="19">
        <v>46017</v>
      </c>
      <c r="E39" s="28"/>
      <c r="F39" s="28"/>
      <c r="G39" s="20"/>
      <c r="H39" s="20"/>
      <c r="I39" s="21">
        <v>77.884399999999999</v>
      </c>
      <c r="J39" s="22">
        <f>ROUND(I39*H39,2)</f>
        <v>0</v>
      </c>
      <c r="K39" s="23" t="e">
        <f>ROUND(G39/J39,4)</f>
        <v>#DIV/0!</v>
      </c>
      <c r="L39" s="24" t="e">
        <f>1-K39</f>
        <v>#DIV/0!</v>
      </c>
      <c r="M39" s="25" t="s">
        <v>215</v>
      </c>
      <c r="N39" s="25" t="s">
        <v>216</v>
      </c>
      <c r="O39" s="26" t="s">
        <v>217</v>
      </c>
      <c r="P39" s="27" t="s">
        <v>68</v>
      </c>
      <c r="Q39" s="27" t="s">
        <v>25</v>
      </c>
      <c r="R39" s="21" t="s">
        <v>26</v>
      </c>
      <c r="S39" s="29">
        <v>32</v>
      </c>
      <c r="T39" s="1"/>
    </row>
    <row r="40" spans="1:34" s="30" customFormat="1" x14ac:dyDescent="0.3">
      <c r="A40" s="31">
        <v>37</v>
      </c>
      <c r="B40" s="32" t="s">
        <v>218</v>
      </c>
      <c r="C40" s="33" t="s">
        <v>219</v>
      </c>
      <c r="D40" s="19">
        <v>46017</v>
      </c>
      <c r="E40" s="28"/>
      <c r="F40" s="28"/>
      <c r="G40" s="20"/>
      <c r="H40" s="20"/>
      <c r="I40" s="21">
        <v>77.884399999999999</v>
      </c>
      <c r="J40" s="22">
        <f>ROUND(I40*H40,2)</f>
        <v>0</v>
      </c>
      <c r="K40" s="23" t="e">
        <f>ROUND(G40/J40,4)</f>
        <v>#DIV/0!</v>
      </c>
      <c r="L40" s="24" t="e">
        <f>1-K40</f>
        <v>#DIV/0!</v>
      </c>
      <c r="M40" s="25" t="s">
        <v>220</v>
      </c>
      <c r="N40" s="25" t="s">
        <v>221</v>
      </c>
      <c r="O40" s="26" t="s">
        <v>222</v>
      </c>
      <c r="P40" s="27" t="s">
        <v>223</v>
      </c>
      <c r="Q40" s="27" t="s">
        <v>25</v>
      </c>
      <c r="R40" s="64" t="s">
        <v>39</v>
      </c>
      <c r="S40" s="29">
        <v>33</v>
      </c>
      <c r="T40" s="1"/>
    </row>
    <row r="41" spans="1:34" s="30" customFormat="1" x14ac:dyDescent="0.3">
      <c r="A41" s="16">
        <v>38</v>
      </c>
      <c r="B41" s="17" t="s">
        <v>224</v>
      </c>
      <c r="C41" s="18" t="s">
        <v>225</v>
      </c>
      <c r="D41" s="19">
        <v>46017</v>
      </c>
      <c r="E41" s="28"/>
      <c r="F41" s="28"/>
      <c r="G41" s="20"/>
      <c r="H41" s="20"/>
      <c r="I41" s="21">
        <v>77.884399999999999</v>
      </c>
      <c r="J41" s="22">
        <f>ROUND(I41*H41,2)</f>
        <v>0</v>
      </c>
      <c r="K41" s="23" t="e">
        <f>ROUND(G41/J41,4)</f>
        <v>#DIV/0!</v>
      </c>
      <c r="L41" s="24" t="e">
        <f>1-K41</f>
        <v>#DIV/0!</v>
      </c>
      <c r="M41" s="25" t="s">
        <v>226</v>
      </c>
      <c r="N41" s="25" t="s">
        <v>227</v>
      </c>
      <c r="O41" s="26" t="s">
        <v>228</v>
      </c>
      <c r="P41" s="27" t="s">
        <v>95</v>
      </c>
      <c r="Q41" s="27" t="s">
        <v>25</v>
      </c>
      <c r="R41" s="21" t="s">
        <v>26</v>
      </c>
      <c r="S41" s="29">
        <v>34</v>
      </c>
      <c r="T41" s="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s="30" customFormat="1" x14ac:dyDescent="0.3">
      <c r="A42" s="16">
        <v>39</v>
      </c>
      <c r="B42" s="17" t="s">
        <v>229</v>
      </c>
      <c r="C42" s="18" t="s">
        <v>230</v>
      </c>
      <c r="D42" s="19">
        <v>46017</v>
      </c>
      <c r="E42" s="28"/>
      <c r="F42" s="28"/>
      <c r="G42" s="20"/>
      <c r="H42" s="20"/>
      <c r="I42" s="21">
        <v>77.884399999999999</v>
      </c>
      <c r="J42" s="22">
        <f>ROUND(I42*H42,2)</f>
        <v>0</v>
      </c>
      <c r="K42" s="23" t="e">
        <f>ROUND(G42/J42,4)</f>
        <v>#DIV/0!</v>
      </c>
      <c r="L42" s="24" t="e">
        <f>1-K42</f>
        <v>#DIV/0!</v>
      </c>
      <c r="M42" s="25" t="s">
        <v>231</v>
      </c>
      <c r="N42" s="25" t="s">
        <v>232</v>
      </c>
      <c r="O42" s="26" t="s">
        <v>233</v>
      </c>
      <c r="P42" s="27" t="s">
        <v>174</v>
      </c>
      <c r="Q42" s="27" t="s">
        <v>25</v>
      </c>
      <c r="R42" s="21" t="s">
        <v>39</v>
      </c>
      <c r="S42" s="29">
        <v>35</v>
      </c>
      <c r="T42" s="1"/>
    </row>
    <row r="43" spans="1:34" s="30" customFormat="1" x14ac:dyDescent="0.3">
      <c r="A43" s="31">
        <v>40</v>
      </c>
      <c r="B43" s="32" t="s">
        <v>234</v>
      </c>
      <c r="C43" s="33" t="s">
        <v>235</v>
      </c>
      <c r="D43" s="19">
        <v>46017</v>
      </c>
      <c r="E43" s="28"/>
      <c r="F43" s="28"/>
      <c r="G43" s="20"/>
      <c r="H43" s="20"/>
      <c r="I43" s="21">
        <v>77.884399999999999</v>
      </c>
      <c r="J43" s="22">
        <f>ROUND(I43*H43,2)</f>
        <v>0</v>
      </c>
      <c r="K43" s="23" t="e">
        <f>ROUND(G43/J43,4)</f>
        <v>#DIV/0!</v>
      </c>
      <c r="L43" s="24" t="e">
        <f>1-K43</f>
        <v>#DIV/0!</v>
      </c>
      <c r="M43" s="25" t="s">
        <v>236</v>
      </c>
      <c r="N43" s="25" t="s">
        <v>237</v>
      </c>
      <c r="O43" s="26" t="s">
        <v>238</v>
      </c>
      <c r="P43" s="27" t="s">
        <v>239</v>
      </c>
      <c r="Q43" s="27" t="s">
        <v>25</v>
      </c>
      <c r="R43" s="64" t="s">
        <v>26</v>
      </c>
      <c r="S43" s="29">
        <v>36</v>
      </c>
      <c r="T43" s="1"/>
    </row>
    <row r="44" spans="1:34" s="30" customFormat="1" x14ac:dyDescent="0.3">
      <c r="A44" s="16">
        <v>41</v>
      </c>
      <c r="B44" s="17" t="s">
        <v>240</v>
      </c>
      <c r="C44" s="34" t="s">
        <v>241</v>
      </c>
      <c r="D44" s="19">
        <v>46017</v>
      </c>
      <c r="E44" s="28"/>
      <c r="F44" s="28"/>
      <c r="G44" s="20"/>
      <c r="H44" s="20"/>
      <c r="I44" s="21">
        <v>77.884399999999999</v>
      </c>
      <c r="J44" s="22">
        <f>ROUND(I44*H44,2)</f>
        <v>0</v>
      </c>
      <c r="K44" s="23" t="e">
        <f>ROUND(G44/J44,4)</f>
        <v>#DIV/0!</v>
      </c>
      <c r="L44" s="24" t="e">
        <f>1-K44</f>
        <v>#DIV/0!</v>
      </c>
      <c r="M44" s="25" t="s">
        <v>242</v>
      </c>
      <c r="N44" s="25" t="s">
        <v>243</v>
      </c>
      <c r="O44" s="26" t="s">
        <v>244</v>
      </c>
      <c r="P44" s="27" t="s">
        <v>174</v>
      </c>
      <c r="Q44" s="27" t="s">
        <v>25</v>
      </c>
      <c r="R44" s="21" t="s">
        <v>39</v>
      </c>
      <c r="S44" s="29">
        <v>37</v>
      </c>
      <c r="T44" s="1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s="30" customFormat="1" x14ac:dyDescent="0.3">
      <c r="A45" s="16">
        <v>42</v>
      </c>
      <c r="B45" s="17" t="s">
        <v>245</v>
      </c>
      <c r="C45" s="18" t="s">
        <v>246</v>
      </c>
      <c r="D45" s="19">
        <v>46017</v>
      </c>
      <c r="E45" s="28"/>
      <c r="F45" s="28"/>
      <c r="G45" s="20"/>
      <c r="H45" s="20"/>
      <c r="I45" s="21">
        <v>77.884399999999999</v>
      </c>
      <c r="J45" s="22">
        <f>ROUND(I45*H45,2)</f>
        <v>0</v>
      </c>
      <c r="K45" s="23" t="e">
        <f>ROUND(G45/J45,4)</f>
        <v>#DIV/0!</v>
      </c>
      <c r="L45" s="24" t="e">
        <f>1-K45</f>
        <v>#DIV/0!</v>
      </c>
      <c r="M45" s="25" t="s">
        <v>247</v>
      </c>
      <c r="N45" s="25" t="s">
        <v>248</v>
      </c>
      <c r="O45" s="26" t="s">
        <v>249</v>
      </c>
      <c r="P45" s="27" t="s">
        <v>250</v>
      </c>
      <c r="Q45" s="27" t="s">
        <v>25</v>
      </c>
      <c r="R45" s="21" t="s">
        <v>39</v>
      </c>
      <c r="S45" s="29">
        <v>38</v>
      </c>
      <c r="T45" s="1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s="30" customFormat="1" x14ac:dyDescent="0.3">
      <c r="A46" s="16">
        <v>43</v>
      </c>
      <c r="B46" s="17" t="s">
        <v>251</v>
      </c>
      <c r="C46" s="18" t="s">
        <v>252</v>
      </c>
      <c r="D46" s="19">
        <v>46017</v>
      </c>
      <c r="E46" s="28"/>
      <c r="F46" s="28"/>
      <c r="G46" s="20"/>
      <c r="H46" s="20"/>
      <c r="I46" s="21">
        <v>77.884399999999999</v>
      </c>
      <c r="J46" s="22">
        <f>ROUND(I46*H46,2)</f>
        <v>0</v>
      </c>
      <c r="K46" s="23" t="e">
        <f>ROUND(G46/J46,4)</f>
        <v>#DIV/0!</v>
      </c>
      <c r="L46" s="24" t="e">
        <f>1-K46</f>
        <v>#DIV/0!</v>
      </c>
      <c r="M46" s="25" t="s">
        <v>253</v>
      </c>
      <c r="N46" s="25" t="s">
        <v>254</v>
      </c>
      <c r="O46" s="26" t="s">
        <v>255</v>
      </c>
      <c r="P46" s="27" t="s">
        <v>123</v>
      </c>
      <c r="Q46" s="27" t="s">
        <v>25</v>
      </c>
      <c r="R46" s="21" t="s">
        <v>39</v>
      </c>
      <c r="S46" s="29">
        <v>39</v>
      </c>
      <c r="T46" s="1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s="30" customFormat="1" x14ac:dyDescent="0.3">
      <c r="A47" s="31">
        <v>44</v>
      </c>
      <c r="B47" s="26" t="s">
        <v>256</v>
      </c>
      <c r="C47" s="27" t="s">
        <v>257</v>
      </c>
      <c r="D47" s="19">
        <v>46017</v>
      </c>
      <c r="E47" s="28"/>
      <c r="F47" s="28"/>
      <c r="G47" s="20"/>
      <c r="H47" s="20"/>
      <c r="I47" s="21">
        <v>77.884399999999999</v>
      </c>
      <c r="J47" s="22">
        <f>ROUND(I47*H47,2)</f>
        <v>0</v>
      </c>
      <c r="K47" s="23" t="e">
        <f>ROUND(G47/J47,4)</f>
        <v>#DIV/0!</v>
      </c>
      <c r="L47" s="24" t="e">
        <f>1-K47</f>
        <v>#DIV/0!</v>
      </c>
      <c r="M47" s="25"/>
      <c r="N47" s="25"/>
      <c r="O47" s="26" t="s">
        <v>258</v>
      </c>
      <c r="P47" s="27" t="s">
        <v>259</v>
      </c>
      <c r="Q47" s="27" t="s">
        <v>25</v>
      </c>
      <c r="R47" s="21" t="s">
        <v>39</v>
      </c>
      <c r="S47" s="29"/>
      <c r="T47" s="1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s="30" customFormat="1" x14ac:dyDescent="0.3">
      <c r="A48" s="16">
        <v>45</v>
      </c>
      <c r="B48" s="17" t="s">
        <v>260</v>
      </c>
      <c r="C48" s="34" t="s">
        <v>261</v>
      </c>
      <c r="D48" s="19">
        <v>46017</v>
      </c>
      <c r="E48" s="28"/>
      <c r="F48" s="28"/>
      <c r="G48" s="20"/>
      <c r="H48" s="20"/>
      <c r="I48" s="21">
        <v>77.884399999999999</v>
      </c>
      <c r="J48" s="22">
        <f>ROUND(I48*H48,2)</f>
        <v>0</v>
      </c>
      <c r="K48" s="23" t="e">
        <f>ROUND(G48/J48,4)</f>
        <v>#DIV/0!</v>
      </c>
      <c r="L48" s="24" t="e">
        <f>1-K48</f>
        <v>#DIV/0!</v>
      </c>
      <c r="M48" s="25" t="s">
        <v>262</v>
      </c>
      <c r="N48" s="25" t="s">
        <v>263</v>
      </c>
      <c r="O48" s="26" t="s">
        <v>264</v>
      </c>
      <c r="P48" s="27" t="s">
        <v>265</v>
      </c>
      <c r="Q48" s="27" t="s">
        <v>25</v>
      </c>
      <c r="R48" s="64" t="s">
        <v>39</v>
      </c>
      <c r="S48" s="29">
        <v>40</v>
      </c>
      <c r="T48" s="1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s="30" customFormat="1" x14ac:dyDescent="0.3">
      <c r="A49" s="16">
        <v>46</v>
      </c>
      <c r="B49" s="17" t="s">
        <v>266</v>
      </c>
      <c r="C49" s="18" t="s">
        <v>267</v>
      </c>
      <c r="D49" s="19">
        <v>46017</v>
      </c>
      <c r="E49" s="28"/>
      <c r="F49" s="28"/>
      <c r="G49" s="20"/>
      <c r="H49" s="20"/>
      <c r="I49" s="21">
        <v>77.884399999999999</v>
      </c>
      <c r="J49" s="22">
        <f>ROUND(I49*H49,2)</f>
        <v>0</v>
      </c>
      <c r="K49" s="23" t="e">
        <f>ROUND(G49/J49,4)</f>
        <v>#DIV/0!</v>
      </c>
      <c r="L49" s="24" t="e">
        <f>1-K49</f>
        <v>#DIV/0!</v>
      </c>
      <c r="M49" s="25" t="s">
        <v>268</v>
      </c>
      <c r="N49" s="25" t="s">
        <v>269</v>
      </c>
      <c r="O49" s="26" t="s">
        <v>270</v>
      </c>
      <c r="P49" s="27" t="s">
        <v>250</v>
      </c>
      <c r="Q49" s="27" t="s">
        <v>25</v>
      </c>
      <c r="R49" s="21" t="s">
        <v>39</v>
      </c>
      <c r="S49" s="29">
        <v>41</v>
      </c>
      <c r="T49" s="1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s="30" customFormat="1" x14ac:dyDescent="0.3">
      <c r="A50" s="16">
        <v>47</v>
      </c>
      <c r="B50" s="17" t="s">
        <v>271</v>
      </c>
      <c r="C50" s="18" t="s">
        <v>272</v>
      </c>
      <c r="D50" s="19">
        <v>46017</v>
      </c>
      <c r="E50" s="28"/>
      <c r="F50" s="28"/>
      <c r="G50" s="20"/>
      <c r="H50" s="20"/>
      <c r="I50" s="21">
        <v>77.884399999999999</v>
      </c>
      <c r="J50" s="22">
        <f>ROUND(I50*H50,2)</f>
        <v>0</v>
      </c>
      <c r="K50" s="23" t="e">
        <f>ROUND(G50/J50,4)</f>
        <v>#DIV/0!</v>
      </c>
      <c r="L50" s="24" t="e">
        <f>1-K50</f>
        <v>#DIV/0!</v>
      </c>
      <c r="M50" s="25" t="s">
        <v>273</v>
      </c>
      <c r="N50" s="25" t="s">
        <v>274</v>
      </c>
      <c r="O50" s="26" t="s">
        <v>275</v>
      </c>
      <c r="P50" s="27" t="s">
        <v>38</v>
      </c>
      <c r="Q50" s="27" t="s">
        <v>25</v>
      </c>
      <c r="R50" s="21" t="s">
        <v>39</v>
      </c>
      <c r="S50" s="29">
        <v>42</v>
      </c>
      <c r="T50" s="1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s="30" customFormat="1" x14ac:dyDescent="0.3">
      <c r="A51" s="31">
        <v>48</v>
      </c>
      <c r="B51" s="32" t="s">
        <v>276</v>
      </c>
      <c r="C51" s="33" t="s">
        <v>277</v>
      </c>
      <c r="D51" s="19">
        <v>46017</v>
      </c>
      <c r="E51" s="28"/>
      <c r="F51" s="28"/>
      <c r="G51" s="20"/>
      <c r="H51" s="20"/>
      <c r="I51" s="21">
        <v>77.884399999999999</v>
      </c>
      <c r="J51" s="22">
        <f>ROUND(I51*H51,2)</f>
        <v>0</v>
      </c>
      <c r="K51" s="23" t="e">
        <f>ROUND(G51/J51,4)</f>
        <v>#DIV/0!</v>
      </c>
      <c r="L51" s="24" t="e">
        <f>1-K51</f>
        <v>#DIV/0!</v>
      </c>
      <c r="M51" s="25" t="s">
        <v>278</v>
      </c>
      <c r="N51" s="25" t="s">
        <v>279</v>
      </c>
      <c r="O51" s="26" t="s">
        <v>280</v>
      </c>
      <c r="P51" s="27" t="s">
        <v>281</v>
      </c>
      <c r="Q51" s="27" t="s">
        <v>25</v>
      </c>
      <c r="R51" s="21" t="s">
        <v>39</v>
      </c>
      <c r="S51" s="29">
        <v>43</v>
      </c>
      <c r="T51" s="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s="30" customFormat="1" x14ac:dyDescent="0.3">
      <c r="A52" s="16">
        <v>49</v>
      </c>
      <c r="B52" s="17" t="s">
        <v>282</v>
      </c>
      <c r="C52" s="18" t="s">
        <v>283</v>
      </c>
      <c r="D52" s="19">
        <v>46017</v>
      </c>
      <c r="E52" s="28"/>
      <c r="F52" s="28"/>
      <c r="G52" s="20"/>
      <c r="H52" s="20"/>
      <c r="I52" s="21">
        <v>77.884399999999999</v>
      </c>
      <c r="J52" s="22">
        <f>ROUND(I52*H52,2)</f>
        <v>0</v>
      </c>
      <c r="K52" s="23" t="e">
        <f>ROUND(G52/J52,4)</f>
        <v>#DIV/0!</v>
      </c>
      <c r="L52" s="24" t="e">
        <f>1-K52</f>
        <v>#DIV/0!</v>
      </c>
      <c r="M52" s="25" t="s">
        <v>284</v>
      </c>
      <c r="N52" s="25" t="s">
        <v>285</v>
      </c>
      <c r="O52" s="26" t="s">
        <v>286</v>
      </c>
      <c r="P52" s="27" t="s">
        <v>24</v>
      </c>
      <c r="Q52" s="27" t="s">
        <v>25</v>
      </c>
      <c r="R52" s="64" t="s">
        <v>26</v>
      </c>
      <c r="S52" s="29">
        <v>44</v>
      </c>
      <c r="T52" s="1"/>
    </row>
    <row r="53" spans="1:34" s="30" customFormat="1" x14ac:dyDescent="0.3">
      <c r="A53" s="16">
        <v>50</v>
      </c>
      <c r="B53" s="17" t="s">
        <v>287</v>
      </c>
      <c r="C53" s="18" t="s">
        <v>288</v>
      </c>
      <c r="D53" s="19">
        <v>46017</v>
      </c>
      <c r="E53" s="28"/>
      <c r="F53" s="28"/>
      <c r="G53" s="20"/>
      <c r="H53" s="20"/>
      <c r="I53" s="21">
        <v>77.884399999999999</v>
      </c>
      <c r="J53" s="22">
        <f>ROUND(I53*H53,2)</f>
        <v>0</v>
      </c>
      <c r="K53" s="23" t="e">
        <f>ROUND(G53/J53,4)</f>
        <v>#DIV/0!</v>
      </c>
      <c r="L53" s="24" t="e">
        <f>1-K53</f>
        <v>#DIV/0!</v>
      </c>
      <c r="M53" s="25" t="s">
        <v>289</v>
      </c>
      <c r="N53" s="25" t="s">
        <v>290</v>
      </c>
      <c r="O53" s="26" t="s">
        <v>291</v>
      </c>
      <c r="P53" s="27" t="s">
        <v>38</v>
      </c>
      <c r="Q53" s="27" t="s">
        <v>25</v>
      </c>
      <c r="R53" s="21" t="s">
        <v>39</v>
      </c>
      <c r="S53" s="29">
        <v>45</v>
      </c>
      <c r="T53" s="1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s="30" customFormat="1" x14ac:dyDescent="0.3">
      <c r="A54" s="31">
        <v>51</v>
      </c>
      <c r="B54" s="32" t="s">
        <v>292</v>
      </c>
      <c r="C54" s="33" t="s">
        <v>293</v>
      </c>
      <c r="D54" s="19">
        <v>46017</v>
      </c>
      <c r="E54" s="28"/>
      <c r="F54" s="28"/>
      <c r="G54" s="20"/>
      <c r="H54" s="20"/>
      <c r="I54" s="21">
        <v>77.884399999999999</v>
      </c>
      <c r="J54" s="22">
        <f>ROUND(I54*H54,2)</f>
        <v>0</v>
      </c>
      <c r="K54" s="23" t="e">
        <f>ROUND(G54/J54,4)</f>
        <v>#DIV/0!</v>
      </c>
      <c r="L54" s="24" t="e">
        <f>1-K54</f>
        <v>#DIV/0!</v>
      </c>
      <c r="M54" s="25" t="s">
        <v>294</v>
      </c>
      <c r="N54" s="25" t="s">
        <v>295</v>
      </c>
      <c r="O54" s="26" t="s">
        <v>296</v>
      </c>
      <c r="P54" s="27" t="s">
        <v>297</v>
      </c>
      <c r="Q54" s="27" t="s">
        <v>25</v>
      </c>
      <c r="R54" s="21" t="s">
        <v>39</v>
      </c>
      <c r="S54" s="29">
        <v>46</v>
      </c>
      <c r="T54" s="1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s="30" customFormat="1" x14ac:dyDescent="0.3">
      <c r="A55" s="16">
        <v>52</v>
      </c>
      <c r="B55" s="17" t="s">
        <v>298</v>
      </c>
      <c r="C55" s="18" t="s">
        <v>299</v>
      </c>
      <c r="D55" s="19">
        <v>46017</v>
      </c>
      <c r="E55" s="28"/>
      <c r="F55" s="28"/>
      <c r="G55" s="20"/>
      <c r="H55" s="20"/>
      <c r="I55" s="21">
        <v>77.884399999999999</v>
      </c>
      <c r="J55" s="22">
        <f>ROUND(I55*H55,2)</f>
        <v>0</v>
      </c>
      <c r="K55" s="23" t="e">
        <f>ROUND(G55/J55,4)</f>
        <v>#DIV/0!</v>
      </c>
      <c r="L55" s="24" t="e">
        <f>1-K55</f>
        <v>#DIV/0!</v>
      </c>
      <c r="M55" s="25" t="s">
        <v>300</v>
      </c>
      <c r="N55" s="25" t="s">
        <v>301</v>
      </c>
      <c r="O55" s="26" t="s">
        <v>302</v>
      </c>
      <c r="P55" s="27" t="s">
        <v>32</v>
      </c>
      <c r="Q55" s="27" t="s">
        <v>25</v>
      </c>
      <c r="R55" s="21" t="s">
        <v>26</v>
      </c>
      <c r="S55" s="29">
        <v>47</v>
      </c>
      <c r="T55" s="1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s="30" customFormat="1" x14ac:dyDescent="0.3">
      <c r="A56" s="16">
        <v>53</v>
      </c>
      <c r="B56" s="17" t="s">
        <v>303</v>
      </c>
      <c r="C56" s="18" t="s">
        <v>304</v>
      </c>
      <c r="D56" s="19">
        <v>46017</v>
      </c>
      <c r="E56" s="28"/>
      <c r="F56" s="28"/>
      <c r="G56" s="20"/>
      <c r="H56" s="20"/>
      <c r="I56" s="21">
        <v>77.884399999999999</v>
      </c>
      <c r="J56" s="22">
        <f>ROUND(I56*H56,2)</f>
        <v>0</v>
      </c>
      <c r="K56" s="23" t="e">
        <f>ROUND(G56/J56,4)</f>
        <v>#DIV/0!</v>
      </c>
      <c r="L56" s="24" t="e">
        <f>1-K56</f>
        <v>#DIV/0!</v>
      </c>
      <c r="M56" s="25" t="s">
        <v>305</v>
      </c>
      <c r="N56" s="25" t="s">
        <v>306</v>
      </c>
      <c r="O56" s="26" t="s">
        <v>307</v>
      </c>
      <c r="P56" s="27" t="s">
        <v>308</v>
      </c>
      <c r="Q56" s="27" t="s">
        <v>25</v>
      </c>
      <c r="R56" s="21" t="s">
        <v>26</v>
      </c>
      <c r="S56" s="29">
        <v>48</v>
      </c>
      <c r="T56" s="1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s="30" customFormat="1" x14ac:dyDescent="0.3">
      <c r="A57" s="16">
        <v>54</v>
      </c>
      <c r="B57" s="17" t="s">
        <v>309</v>
      </c>
      <c r="C57" s="18" t="s">
        <v>310</v>
      </c>
      <c r="D57" s="19">
        <v>46017</v>
      </c>
      <c r="E57" s="28"/>
      <c r="F57" s="28"/>
      <c r="G57" s="20"/>
      <c r="H57" s="20"/>
      <c r="I57" s="21">
        <v>77.884399999999999</v>
      </c>
      <c r="J57" s="22">
        <f>ROUND(I57*H57,2)</f>
        <v>0</v>
      </c>
      <c r="K57" s="23" t="e">
        <f>ROUND(G57/J57,4)</f>
        <v>#DIV/0!</v>
      </c>
      <c r="L57" s="24" t="e">
        <f>1-K57</f>
        <v>#DIV/0!</v>
      </c>
      <c r="M57" s="25" t="s">
        <v>311</v>
      </c>
      <c r="N57" s="25" t="s">
        <v>312</v>
      </c>
      <c r="O57" s="26" t="s">
        <v>313</v>
      </c>
      <c r="P57" s="27" t="s">
        <v>32</v>
      </c>
      <c r="Q57" s="27" t="s">
        <v>25</v>
      </c>
      <c r="R57" s="21" t="s">
        <v>26</v>
      </c>
      <c r="S57" s="29">
        <v>49</v>
      </c>
      <c r="T57" s="1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s="30" customFormat="1" x14ac:dyDescent="0.3">
      <c r="A58" s="16">
        <v>55</v>
      </c>
      <c r="B58" s="17" t="s">
        <v>314</v>
      </c>
      <c r="C58" s="18" t="s">
        <v>315</v>
      </c>
      <c r="D58" s="19">
        <v>46017</v>
      </c>
      <c r="E58" s="28"/>
      <c r="F58" s="28"/>
      <c r="G58" s="20"/>
      <c r="H58" s="20"/>
      <c r="I58" s="21">
        <v>77.884399999999999</v>
      </c>
      <c r="J58" s="22">
        <f>ROUND(I58*H58,2)</f>
        <v>0</v>
      </c>
      <c r="K58" s="23" t="e">
        <f>ROUND(G58/J58,4)</f>
        <v>#DIV/0!</v>
      </c>
      <c r="L58" s="24" t="e">
        <f>1-K58</f>
        <v>#DIV/0!</v>
      </c>
      <c r="M58" s="25" t="s">
        <v>316</v>
      </c>
      <c r="N58" s="25" t="s">
        <v>317</v>
      </c>
      <c r="O58" s="26" t="s">
        <v>318</v>
      </c>
      <c r="P58" s="27" t="s">
        <v>319</v>
      </c>
      <c r="Q58" s="27" t="s">
        <v>25</v>
      </c>
      <c r="R58" s="64" t="s">
        <v>39</v>
      </c>
      <c r="S58" s="29">
        <v>50</v>
      </c>
      <c r="T58" s="1"/>
    </row>
    <row r="59" spans="1:34" s="30" customFormat="1" x14ac:dyDescent="0.3">
      <c r="A59" s="16">
        <v>56</v>
      </c>
      <c r="B59" s="17" t="s">
        <v>320</v>
      </c>
      <c r="C59" s="18" t="s">
        <v>321</v>
      </c>
      <c r="D59" s="19">
        <v>46017</v>
      </c>
      <c r="E59" s="28"/>
      <c r="F59" s="28"/>
      <c r="G59" s="20"/>
      <c r="H59" s="20"/>
      <c r="I59" s="21">
        <v>77.884399999999999</v>
      </c>
      <c r="J59" s="22">
        <f>ROUND(I59*H59,2)</f>
        <v>0</v>
      </c>
      <c r="K59" s="23" t="e">
        <f>ROUND(G59/J59,4)</f>
        <v>#DIV/0!</v>
      </c>
      <c r="L59" s="24" t="e">
        <f>1-K59</f>
        <v>#DIV/0!</v>
      </c>
      <c r="M59" s="25" t="s">
        <v>322</v>
      </c>
      <c r="N59" s="25" t="s">
        <v>323</v>
      </c>
      <c r="O59" s="26" t="s">
        <v>324</v>
      </c>
      <c r="P59" s="27" t="s">
        <v>325</v>
      </c>
      <c r="Q59" s="27" t="s">
        <v>25</v>
      </c>
      <c r="R59" s="21" t="s">
        <v>26</v>
      </c>
      <c r="S59" s="29">
        <v>51</v>
      </c>
      <c r="T59" s="1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s="30" customFormat="1" x14ac:dyDescent="0.3">
      <c r="A60" s="31">
        <v>57</v>
      </c>
      <c r="B60" s="32" t="s">
        <v>326</v>
      </c>
      <c r="C60" s="33" t="s">
        <v>327</v>
      </c>
      <c r="D60" s="19">
        <v>46017</v>
      </c>
      <c r="E60" s="28"/>
      <c r="F60" s="28"/>
      <c r="G60" s="20"/>
      <c r="H60" s="20"/>
      <c r="I60" s="21">
        <v>77.884399999999999</v>
      </c>
      <c r="J60" s="22">
        <f>ROUND(I60*H60,2)</f>
        <v>0</v>
      </c>
      <c r="K60" s="23" t="e">
        <f>ROUND(G60/J60,4)</f>
        <v>#DIV/0!</v>
      </c>
      <c r="L60" s="24" t="e">
        <f>1-K60</f>
        <v>#DIV/0!</v>
      </c>
      <c r="M60" s="25" t="s">
        <v>328</v>
      </c>
      <c r="N60" s="25" t="s">
        <v>329</v>
      </c>
      <c r="O60" s="26" t="s">
        <v>330</v>
      </c>
      <c r="P60" s="27" t="s">
        <v>331</v>
      </c>
      <c r="Q60" s="27" t="s">
        <v>25</v>
      </c>
      <c r="R60" s="64" t="s">
        <v>39</v>
      </c>
      <c r="S60" s="29">
        <v>52</v>
      </c>
      <c r="T60" s="1"/>
    </row>
    <row r="61" spans="1:34" s="30" customFormat="1" x14ac:dyDescent="0.3">
      <c r="A61" s="31">
        <v>58</v>
      </c>
      <c r="B61" s="26" t="s">
        <v>332</v>
      </c>
      <c r="C61" s="27" t="s">
        <v>333</v>
      </c>
      <c r="D61" s="19">
        <v>46017</v>
      </c>
      <c r="E61" s="28"/>
      <c r="F61" s="28"/>
      <c r="G61" s="20"/>
      <c r="H61" s="20"/>
      <c r="I61" s="21">
        <v>77.884399999999999</v>
      </c>
      <c r="J61" s="22">
        <f>ROUND(I61*H61,2)</f>
        <v>0</v>
      </c>
      <c r="K61" s="23" t="e">
        <f>ROUND(G61/J61,4)</f>
        <v>#DIV/0!</v>
      </c>
      <c r="L61" s="24" t="e">
        <f>1-K61</f>
        <v>#DIV/0!</v>
      </c>
      <c r="M61" s="25"/>
      <c r="N61" s="25"/>
      <c r="O61" s="26" t="s">
        <v>334</v>
      </c>
      <c r="P61" s="27" t="s">
        <v>331</v>
      </c>
      <c r="Q61" s="27" t="s">
        <v>25</v>
      </c>
      <c r="R61" s="21" t="s">
        <v>39</v>
      </c>
      <c r="S61" s="29"/>
      <c r="T61" s="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s="30" customFormat="1" x14ac:dyDescent="0.3">
      <c r="A62" s="16">
        <v>59</v>
      </c>
      <c r="B62" s="17" t="s">
        <v>335</v>
      </c>
      <c r="C62" s="18" t="s">
        <v>336</v>
      </c>
      <c r="D62" s="19">
        <v>46017</v>
      </c>
      <c r="E62" s="28"/>
      <c r="F62" s="28"/>
      <c r="G62" s="20"/>
      <c r="H62" s="20"/>
      <c r="I62" s="21">
        <v>77.884399999999999</v>
      </c>
      <c r="J62" s="22">
        <f>ROUND(I62*H62,2)</f>
        <v>0</v>
      </c>
      <c r="K62" s="23" t="e">
        <f>ROUND(G62/J62,4)</f>
        <v>#DIV/0!</v>
      </c>
      <c r="L62" s="24" t="e">
        <f>1-K62</f>
        <v>#DIV/0!</v>
      </c>
      <c r="M62" s="25" t="s">
        <v>337</v>
      </c>
      <c r="N62" s="25" t="s">
        <v>338</v>
      </c>
      <c r="O62" s="26" t="s">
        <v>339</v>
      </c>
      <c r="P62" s="27" t="s">
        <v>32</v>
      </c>
      <c r="Q62" s="27" t="s">
        <v>25</v>
      </c>
      <c r="R62" s="21" t="s">
        <v>39</v>
      </c>
      <c r="S62" s="29">
        <v>53</v>
      </c>
      <c r="T62" s="1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30" customFormat="1" x14ac:dyDescent="0.3">
      <c r="A63" s="16">
        <v>60</v>
      </c>
      <c r="B63" s="17" t="s">
        <v>340</v>
      </c>
      <c r="C63" s="18" t="s">
        <v>341</v>
      </c>
      <c r="D63" s="19">
        <v>46017</v>
      </c>
      <c r="E63" s="28"/>
      <c r="F63" s="28"/>
      <c r="G63" s="20"/>
      <c r="H63" s="20"/>
      <c r="I63" s="21">
        <v>77.884399999999999</v>
      </c>
      <c r="J63" s="22">
        <f>ROUND(I63*H63,2)</f>
        <v>0</v>
      </c>
      <c r="K63" s="23" t="e">
        <f>ROUND(G63/J63,4)</f>
        <v>#DIV/0!</v>
      </c>
      <c r="L63" s="24" t="e">
        <f>1-K63</f>
        <v>#DIV/0!</v>
      </c>
      <c r="M63" s="25" t="s">
        <v>342</v>
      </c>
      <c r="N63" s="25" t="s">
        <v>343</v>
      </c>
      <c r="O63" s="26" t="s">
        <v>344</v>
      </c>
      <c r="P63" s="27" t="s">
        <v>345</v>
      </c>
      <c r="Q63" s="27" t="s">
        <v>25</v>
      </c>
      <c r="R63" s="21" t="s">
        <v>26</v>
      </c>
      <c r="S63" s="29">
        <v>54</v>
      </c>
      <c r="T63" s="1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30" customFormat="1" x14ac:dyDescent="0.3">
      <c r="A64" s="16">
        <v>61</v>
      </c>
      <c r="B64" s="17" t="s">
        <v>346</v>
      </c>
      <c r="C64" s="18" t="s">
        <v>347</v>
      </c>
      <c r="D64" s="19">
        <v>46017</v>
      </c>
      <c r="E64" s="28"/>
      <c r="F64" s="28"/>
      <c r="G64" s="20"/>
      <c r="H64" s="20"/>
      <c r="I64" s="21">
        <v>77.884399999999999</v>
      </c>
      <c r="J64" s="22">
        <f>ROUND(I64*H64,2)</f>
        <v>0</v>
      </c>
      <c r="K64" s="23" t="e">
        <f>ROUND(G64/J64,4)</f>
        <v>#DIV/0!</v>
      </c>
      <c r="L64" s="24" t="e">
        <f>1-K64</f>
        <v>#DIV/0!</v>
      </c>
      <c r="M64" s="25" t="s">
        <v>348</v>
      </c>
      <c r="N64" s="25" t="s">
        <v>349</v>
      </c>
      <c r="O64" s="26" t="s">
        <v>350</v>
      </c>
      <c r="P64" s="27" t="s">
        <v>351</v>
      </c>
      <c r="Q64" s="27" t="s">
        <v>25</v>
      </c>
      <c r="R64" s="64" t="s">
        <v>39</v>
      </c>
      <c r="S64" s="29">
        <v>55</v>
      </c>
      <c r="T64" s="1"/>
    </row>
    <row r="65" spans="1:34" s="30" customFormat="1" x14ac:dyDescent="0.3">
      <c r="A65" s="31">
        <v>62</v>
      </c>
      <c r="B65" s="26" t="s">
        <v>352</v>
      </c>
      <c r="C65" s="27" t="s">
        <v>353</v>
      </c>
      <c r="D65" s="19">
        <v>46017</v>
      </c>
      <c r="E65" s="28"/>
      <c r="F65" s="28"/>
      <c r="G65" s="20"/>
      <c r="H65" s="20"/>
      <c r="I65" s="21">
        <v>77.884399999999999</v>
      </c>
      <c r="J65" s="22">
        <f>ROUND(I65*H65,2)</f>
        <v>0</v>
      </c>
      <c r="K65" s="23" t="e">
        <f>ROUND(G65/J65,4)</f>
        <v>#DIV/0!</v>
      </c>
      <c r="L65" s="24" t="e">
        <f>1-K65</f>
        <v>#DIV/0!</v>
      </c>
      <c r="M65" s="25"/>
      <c r="N65" s="25"/>
      <c r="O65" s="26" t="s">
        <v>354</v>
      </c>
      <c r="P65" s="27" t="s">
        <v>281</v>
      </c>
      <c r="Q65" s="27" t="s">
        <v>25</v>
      </c>
      <c r="R65" s="21" t="s">
        <v>26</v>
      </c>
      <c r="S65" s="29"/>
      <c r="T65" s="1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s="30" customFormat="1" x14ac:dyDescent="0.3">
      <c r="A66" s="16">
        <v>63</v>
      </c>
      <c r="B66" s="17" t="s">
        <v>355</v>
      </c>
      <c r="C66" s="18" t="s">
        <v>356</v>
      </c>
      <c r="D66" s="19">
        <v>46017</v>
      </c>
      <c r="E66" s="28"/>
      <c r="F66" s="28"/>
      <c r="G66" s="20"/>
      <c r="H66" s="20"/>
      <c r="I66" s="21">
        <v>77.884399999999999</v>
      </c>
      <c r="J66" s="22">
        <f>ROUND(I66*H66,2)</f>
        <v>0</v>
      </c>
      <c r="K66" s="23" t="e">
        <f>ROUND(G66/J66,4)</f>
        <v>#DIV/0!</v>
      </c>
      <c r="L66" s="24" t="e">
        <f>1-K66</f>
        <v>#DIV/0!</v>
      </c>
      <c r="M66" s="25" t="s">
        <v>357</v>
      </c>
      <c r="N66" s="25" t="s">
        <v>358</v>
      </c>
      <c r="O66" s="26" t="s">
        <v>359</v>
      </c>
      <c r="P66" s="27" t="s">
        <v>250</v>
      </c>
      <c r="Q66" s="27" t="s">
        <v>25</v>
      </c>
      <c r="R66" s="21" t="s">
        <v>26</v>
      </c>
      <c r="S66" s="29">
        <v>56</v>
      </c>
      <c r="T66" s="1"/>
    </row>
    <row r="67" spans="1:34" s="30" customFormat="1" x14ac:dyDescent="0.3">
      <c r="A67" s="16">
        <v>64</v>
      </c>
      <c r="B67" s="17" t="s">
        <v>360</v>
      </c>
      <c r="C67" s="18" t="s">
        <v>361</v>
      </c>
      <c r="D67" s="19">
        <v>46017</v>
      </c>
      <c r="E67" s="28"/>
      <c r="F67" s="28"/>
      <c r="G67" s="20"/>
      <c r="H67" s="20"/>
      <c r="I67" s="21">
        <v>77.884399999999999</v>
      </c>
      <c r="J67" s="22">
        <f>ROUND(I67*H67,2)</f>
        <v>0</v>
      </c>
      <c r="K67" s="23" t="e">
        <f>ROUND(G67/J67,4)</f>
        <v>#DIV/0!</v>
      </c>
      <c r="L67" s="24" t="e">
        <f>1-K67</f>
        <v>#DIV/0!</v>
      </c>
      <c r="M67" s="25" t="s">
        <v>362</v>
      </c>
      <c r="N67" s="25" t="s">
        <v>363</v>
      </c>
      <c r="O67" s="26" t="s">
        <v>364</v>
      </c>
      <c r="P67" s="27" t="s">
        <v>146</v>
      </c>
      <c r="Q67" s="27" t="s">
        <v>25</v>
      </c>
      <c r="R67" s="21" t="s">
        <v>39</v>
      </c>
      <c r="S67" s="29">
        <v>57</v>
      </c>
      <c r="T67" s="1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30" customFormat="1" x14ac:dyDescent="0.3">
      <c r="A68" s="16">
        <v>65</v>
      </c>
      <c r="B68" s="17" t="s">
        <v>365</v>
      </c>
      <c r="C68" s="18" t="s">
        <v>366</v>
      </c>
      <c r="D68" s="19">
        <v>46017</v>
      </c>
      <c r="E68" s="28"/>
      <c r="F68" s="28"/>
      <c r="G68" s="20"/>
      <c r="H68" s="20"/>
      <c r="I68" s="21">
        <v>77.884399999999999</v>
      </c>
      <c r="J68" s="22">
        <f>ROUND(I68*H68,2)</f>
        <v>0</v>
      </c>
      <c r="K68" s="23" t="e">
        <f>ROUND(G68/J68,4)</f>
        <v>#DIV/0!</v>
      </c>
      <c r="L68" s="24" t="e">
        <f>1-K68</f>
        <v>#DIV/0!</v>
      </c>
      <c r="M68" s="25" t="s">
        <v>367</v>
      </c>
      <c r="N68" s="25" t="s">
        <v>368</v>
      </c>
      <c r="O68" s="26" t="s">
        <v>369</v>
      </c>
      <c r="P68" s="27" t="s">
        <v>123</v>
      </c>
      <c r="Q68" s="27" t="s">
        <v>25</v>
      </c>
      <c r="R68" s="21" t="s">
        <v>39</v>
      </c>
      <c r="S68" s="29">
        <v>58</v>
      </c>
      <c r="T68" s="1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30" customFormat="1" x14ac:dyDescent="0.3">
      <c r="A69" s="16">
        <v>66</v>
      </c>
      <c r="B69" s="17" t="s">
        <v>370</v>
      </c>
      <c r="C69" s="18" t="s">
        <v>371</v>
      </c>
      <c r="D69" s="19">
        <v>46017</v>
      </c>
      <c r="E69" s="28"/>
      <c r="F69" s="28"/>
      <c r="G69" s="20"/>
      <c r="H69" s="20"/>
      <c r="I69" s="21">
        <v>77.884399999999999</v>
      </c>
      <c r="J69" s="22">
        <f>ROUND(I69*H69,2)</f>
        <v>0</v>
      </c>
      <c r="K69" s="23" t="e">
        <f>ROUND(G69/J69,4)</f>
        <v>#DIV/0!</v>
      </c>
      <c r="L69" s="24" t="e">
        <f>1-K69</f>
        <v>#DIV/0!</v>
      </c>
      <c r="M69" s="25" t="s">
        <v>372</v>
      </c>
      <c r="N69" s="25" t="s">
        <v>373</v>
      </c>
      <c r="O69" s="26" t="s">
        <v>374</v>
      </c>
      <c r="P69" s="27" t="s">
        <v>123</v>
      </c>
      <c r="Q69" s="27" t="s">
        <v>25</v>
      </c>
      <c r="R69" s="21" t="s">
        <v>39</v>
      </c>
      <c r="S69" s="29">
        <v>59</v>
      </c>
      <c r="T69" s="1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s="30" customFormat="1" x14ac:dyDescent="0.3">
      <c r="A70" s="31">
        <v>67</v>
      </c>
      <c r="B70" s="26" t="s">
        <v>375</v>
      </c>
      <c r="C70" s="27" t="s">
        <v>376</v>
      </c>
      <c r="D70" s="19">
        <v>46017</v>
      </c>
      <c r="E70" s="28"/>
      <c r="F70" s="28"/>
      <c r="G70" s="20"/>
      <c r="H70" s="20"/>
      <c r="I70" s="21">
        <v>77.884399999999999</v>
      </c>
      <c r="J70" s="22">
        <f>ROUND(I70*H70,2)</f>
        <v>0</v>
      </c>
      <c r="K70" s="23" t="e">
        <f>ROUND(G70/J70,4)</f>
        <v>#DIV/0!</v>
      </c>
      <c r="L70" s="24" t="e">
        <f>1-K70</f>
        <v>#DIV/0!</v>
      </c>
      <c r="M70" s="25"/>
      <c r="N70" s="25"/>
      <c r="O70" s="26" t="s">
        <v>377</v>
      </c>
      <c r="P70" s="27" t="s">
        <v>378</v>
      </c>
      <c r="Q70" s="27" t="s">
        <v>25</v>
      </c>
      <c r="R70" s="21" t="s">
        <v>26</v>
      </c>
      <c r="S70" s="29"/>
      <c r="T70" s="1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s="30" customFormat="1" x14ac:dyDescent="0.3">
      <c r="A71" s="11">
        <v>68</v>
      </c>
      <c r="B71" s="32" t="s">
        <v>379</v>
      </c>
      <c r="C71" s="33" t="s">
        <v>380</v>
      </c>
      <c r="D71" s="19">
        <v>46017</v>
      </c>
      <c r="E71" s="28"/>
      <c r="F71" s="28"/>
      <c r="G71" s="20"/>
      <c r="H71" s="20"/>
      <c r="I71" s="21">
        <v>77.884399999999999</v>
      </c>
      <c r="J71" s="22">
        <f>ROUND(I71*H71,2)</f>
        <v>0</v>
      </c>
      <c r="K71" s="23" t="e">
        <f>ROUND(G71/J71,4)</f>
        <v>#DIV/0!</v>
      </c>
      <c r="L71" s="24" t="e">
        <f>1-K71</f>
        <v>#DIV/0!</v>
      </c>
      <c r="M71" s="37" t="s">
        <v>381</v>
      </c>
      <c r="N71" s="37" t="s">
        <v>382</v>
      </c>
      <c r="O71" s="26" t="s">
        <v>3877</v>
      </c>
      <c r="P71" s="27" t="s">
        <v>383</v>
      </c>
      <c r="Q71" s="27" t="s">
        <v>25</v>
      </c>
      <c r="R71" s="64" t="s">
        <v>39</v>
      </c>
      <c r="S71" s="29">
        <v>60</v>
      </c>
      <c r="T71" s="1"/>
    </row>
    <row r="72" spans="1:34" s="30" customFormat="1" x14ac:dyDescent="0.3">
      <c r="A72" s="16">
        <v>69</v>
      </c>
      <c r="B72" s="17" t="s">
        <v>384</v>
      </c>
      <c r="C72" s="18" t="s">
        <v>385</v>
      </c>
      <c r="D72" s="19">
        <v>46017</v>
      </c>
      <c r="E72" s="28"/>
      <c r="F72" s="28"/>
      <c r="G72" s="20"/>
      <c r="H72" s="20"/>
      <c r="I72" s="21">
        <v>77.884399999999999</v>
      </c>
      <c r="J72" s="22">
        <f>ROUND(I72*H72,2)</f>
        <v>0</v>
      </c>
      <c r="K72" s="23" t="e">
        <f>ROUND(G72/J72,4)</f>
        <v>#DIV/0!</v>
      </c>
      <c r="L72" s="24" t="e">
        <f>1-K72</f>
        <v>#DIV/0!</v>
      </c>
      <c r="M72" s="25" t="s">
        <v>386</v>
      </c>
      <c r="N72" s="25" t="s">
        <v>387</v>
      </c>
      <c r="O72" s="26" t="s">
        <v>388</v>
      </c>
      <c r="P72" s="27" t="s">
        <v>265</v>
      </c>
      <c r="Q72" s="27" t="s">
        <v>25</v>
      </c>
      <c r="R72" s="21" t="s">
        <v>39</v>
      </c>
      <c r="S72" s="29">
        <v>61</v>
      </c>
      <c r="T72" s="1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s="30" customFormat="1" x14ac:dyDescent="0.3">
      <c r="A73" s="16">
        <v>70</v>
      </c>
      <c r="B73" s="17" t="s">
        <v>389</v>
      </c>
      <c r="C73" s="34" t="s">
        <v>390</v>
      </c>
      <c r="D73" s="19">
        <v>46017</v>
      </c>
      <c r="E73" s="28"/>
      <c r="F73" s="28"/>
      <c r="G73" s="20"/>
      <c r="H73" s="20"/>
      <c r="I73" s="21">
        <v>77.884399999999999</v>
      </c>
      <c r="J73" s="22">
        <f>ROUND(I73*H73,2)</f>
        <v>0</v>
      </c>
      <c r="K73" s="23" t="e">
        <f>ROUND(G73/J73,4)</f>
        <v>#DIV/0!</v>
      </c>
      <c r="L73" s="24" t="e">
        <f>1-K73</f>
        <v>#DIV/0!</v>
      </c>
      <c r="M73" s="25" t="s">
        <v>391</v>
      </c>
      <c r="N73" s="25" t="s">
        <v>392</v>
      </c>
      <c r="O73" s="26" t="s">
        <v>393</v>
      </c>
      <c r="P73" s="27" t="s">
        <v>32</v>
      </c>
      <c r="Q73" s="27" t="s">
        <v>25</v>
      </c>
      <c r="R73" s="21" t="s">
        <v>39</v>
      </c>
      <c r="S73" s="29">
        <v>62</v>
      </c>
      <c r="T73" s="1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s="30" customFormat="1" x14ac:dyDescent="0.3">
      <c r="A74" s="16">
        <v>71</v>
      </c>
      <c r="B74" s="17" t="s">
        <v>394</v>
      </c>
      <c r="C74" s="18" t="s">
        <v>395</v>
      </c>
      <c r="D74" s="19">
        <v>46017</v>
      </c>
      <c r="E74" s="28"/>
      <c r="F74" s="28"/>
      <c r="G74" s="20"/>
      <c r="H74" s="20"/>
      <c r="I74" s="21">
        <v>77.884399999999999</v>
      </c>
      <c r="J74" s="22">
        <f>ROUND(I74*H74,2)</f>
        <v>0</v>
      </c>
      <c r="K74" s="23" t="e">
        <f>ROUND(G74/J74,4)</f>
        <v>#DIV/0!</v>
      </c>
      <c r="L74" s="24" t="e">
        <f>1-K74</f>
        <v>#DIV/0!</v>
      </c>
      <c r="M74" s="25" t="s">
        <v>396</v>
      </c>
      <c r="N74" s="25" t="s">
        <v>397</v>
      </c>
      <c r="O74" s="26" t="s">
        <v>398</v>
      </c>
      <c r="P74" s="27" t="s">
        <v>32</v>
      </c>
      <c r="Q74" s="27" t="s">
        <v>25</v>
      </c>
      <c r="R74" s="21" t="s">
        <v>39</v>
      </c>
      <c r="S74" s="29">
        <v>63</v>
      </c>
      <c r="T74" s="1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s="30" customFormat="1" x14ac:dyDescent="0.3">
      <c r="A75" s="16">
        <v>72</v>
      </c>
      <c r="B75" s="17" t="s">
        <v>399</v>
      </c>
      <c r="C75" s="18" t="s">
        <v>400</v>
      </c>
      <c r="D75" s="19">
        <v>46017</v>
      </c>
      <c r="E75" s="28"/>
      <c r="F75" s="28"/>
      <c r="G75" s="20"/>
      <c r="H75" s="20"/>
      <c r="I75" s="21">
        <v>77.884399999999999</v>
      </c>
      <c r="J75" s="22">
        <f>ROUND(I75*H75,2)</f>
        <v>0</v>
      </c>
      <c r="K75" s="23" t="e">
        <f>ROUND(G75/J75,4)</f>
        <v>#DIV/0!</v>
      </c>
      <c r="L75" s="24" t="e">
        <f>1-K75</f>
        <v>#DIV/0!</v>
      </c>
      <c r="M75" s="25" t="s">
        <v>401</v>
      </c>
      <c r="N75" s="25" t="s">
        <v>402</v>
      </c>
      <c r="O75" s="26" t="s">
        <v>403</v>
      </c>
      <c r="P75" s="27" t="s">
        <v>68</v>
      </c>
      <c r="Q75" s="27" t="s">
        <v>25</v>
      </c>
      <c r="R75" s="21" t="s">
        <v>39</v>
      </c>
      <c r="S75" s="29">
        <v>64</v>
      </c>
      <c r="T75" s="1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s="30" customFormat="1" x14ac:dyDescent="0.3">
      <c r="A76" s="16">
        <v>73</v>
      </c>
      <c r="B76" s="17" t="s">
        <v>404</v>
      </c>
      <c r="C76" s="18" t="s">
        <v>405</v>
      </c>
      <c r="D76" s="19">
        <v>46017</v>
      </c>
      <c r="E76" s="28"/>
      <c r="F76" s="28"/>
      <c r="G76" s="20"/>
      <c r="H76" s="20"/>
      <c r="I76" s="21">
        <v>77.884399999999999</v>
      </c>
      <c r="J76" s="22">
        <f>ROUND(I76*H76,2)</f>
        <v>0</v>
      </c>
      <c r="K76" s="23" t="e">
        <f>ROUND(G76/J76,4)</f>
        <v>#DIV/0!</v>
      </c>
      <c r="L76" s="24" t="e">
        <f>1-K76</f>
        <v>#DIV/0!</v>
      </c>
      <c r="M76" s="25" t="s">
        <v>406</v>
      </c>
      <c r="N76" s="25" t="s">
        <v>407</v>
      </c>
      <c r="O76" s="26" t="s">
        <v>408</v>
      </c>
      <c r="P76" s="27" t="s">
        <v>134</v>
      </c>
      <c r="Q76" s="27" t="s">
        <v>25</v>
      </c>
      <c r="R76" s="21" t="s">
        <v>26</v>
      </c>
      <c r="S76" s="29">
        <v>65</v>
      </c>
      <c r="T76" s="1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s="30" customFormat="1" x14ac:dyDescent="0.3">
      <c r="A77" s="16">
        <v>74</v>
      </c>
      <c r="B77" s="17" t="s">
        <v>409</v>
      </c>
      <c r="C77" s="18" t="s">
        <v>410</v>
      </c>
      <c r="D77" s="19">
        <v>46017</v>
      </c>
      <c r="E77" s="28"/>
      <c r="F77" s="28"/>
      <c r="G77" s="20"/>
      <c r="H77" s="20"/>
      <c r="I77" s="21">
        <v>77.884399999999999</v>
      </c>
      <c r="J77" s="22">
        <f>ROUND(I77*H77,2)</f>
        <v>0</v>
      </c>
      <c r="K77" s="23" t="e">
        <f>ROUND(G77/J77,4)</f>
        <v>#DIV/0!</v>
      </c>
      <c r="L77" s="24" t="e">
        <f>1-K77</f>
        <v>#DIV/0!</v>
      </c>
      <c r="M77" s="25" t="s">
        <v>411</v>
      </c>
      <c r="N77" s="25" t="s">
        <v>412</v>
      </c>
      <c r="O77" s="26" t="s">
        <v>413</v>
      </c>
      <c r="P77" s="27" t="s">
        <v>414</v>
      </c>
      <c r="Q77" s="27" t="s">
        <v>25</v>
      </c>
      <c r="R77" s="21" t="s">
        <v>39</v>
      </c>
      <c r="S77" s="29">
        <v>66</v>
      </c>
      <c r="T77" s="1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s="30" customFormat="1" x14ac:dyDescent="0.3">
      <c r="A78" s="31">
        <v>75</v>
      </c>
      <c r="B78" s="26" t="s">
        <v>415</v>
      </c>
      <c r="C78" s="27" t="s">
        <v>416</v>
      </c>
      <c r="D78" s="19">
        <v>46017</v>
      </c>
      <c r="E78" s="28"/>
      <c r="F78" s="28"/>
      <c r="G78" s="20"/>
      <c r="H78" s="20"/>
      <c r="I78" s="21">
        <v>77.884399999999999</v>
      </c>
      <c r="J78" s="22">
        <f>ROUND(I78*H78,2)</f>
        <v>0</v>
      </c>
      <c r="K78" s="23" t="e">
        <f>ROUND(G78/J78,4)</f>
        <v>#DIV/0!</v>
      </c>
      <c r="L78" s="24" t="e">
        <f>1-K78</f>
        <v>#DIV/0!</v>
      </c>
      <c r="M78" s="25" t="s">
        <v>3901</v>
      </c>
      <c r="N78" s="25" t="s">
        <v>3902</v>
      </c>
      <c r="O78" s="26" t="s">
        <v>417</v>
      </c>
      <c r="P78" s="27" t="s">
        <v>281</v>
      </c>
      <c r="Q78" s="27" t="s">
        <v>25</v>
      </c>
      <c r="R78" s="64" t="s">
        <v>26</v>
      </c>
      <c r="S78" s="29">
        <v>67</v>
      </c>
      <c r="T78" s="1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s="30" customFormat="1" x14ac:dyDescent="0.3">
      <c r="A79" s="16">
        <v>76</v>
      </c>
      <c r="B79" s="17" t="s">
        <v>418</v>
      </c>
      <c r="C79" s="18" t="s">
        <v>419</v>
      </c>
      <c r="D79" s="19">
        <v>46017</v>
      </c>
      <c r="E79" s="28"/>
      <c r="F79" s="28"/>
      <c r="G79" s="20"/>
      <c r="H79" s="20"/>
      <c r="I79" s="21">
        <v>77.884399999999999</v>
      </c>
      <c r="J79" s="22">
        <f>ROUND(I79*H79,2)</f>
        <v>0</v>
      </c>
      <c r="K79" s="23" t="e">
        <f>ROUND(G79/J79,4)</f>
        <v>#DIV/0!</v>
      </c>
      <c r="L79" s="24" t="e">
        <f>1-K79</f>
        <v>#DIV/0!</v>
      </c>
      <c r="M79" s="25" t="s">
        <v>420</v>
      </c>
      <c r="N79" s="25" t="s">
        <v>421</v>
      </c>
      <c r="O79" s="26" t="s">
        <v>422</v>
      </c>
      <c r="P79" s="27" t="s">
        <v>351</v>
      </c>
      <c r="Q79" s="27" t="s">
        <v>25</v>
      </c>
      <c r="R79" s="64" t="s">
        <v>26</v>
      </c>
      <c r="S79" s="29">
        <v>68</v>
      </c>
      <c r="T79" s="1"/>
    </row>
    <row r="80" spans="1:34" s="30" customFormat="1" x14ac:dyDescent="0.3">
      <c r="A80" s="16">
        <v>77</v>
      </c>
      <c r="B80" s="17" t="s">
        <v>423</v>
      </c>
      <c r="C80" s="18" t="s">
        <v>424</v>
      </c>
      <c r="D80" s="19">
        <v>46017</v>
      </c>
      <c r="E80" s="28"/>
      <c r="F80" s="28"/>
      <c r="G80" s="20"/>
      <c r="H80" s="20"/>
      <c r="I80" s="21">
        <v>77.884399999999999</v>
      </c>
      <c r="J80" s="22">
        <f>ROUND(I80*H80,2)</f>
        <v>0</v>
      </c>
      <c r="K80" s="23" t="e">
        <f>ROUND(G80/J80,4)</f>
        <v>#DIV/0!</v>
      </c>
      <c r="L80" s="24" t="e">
        <f>1-K80</f>
        <v>#DIV/0!</v>
      </c>
      <c r="M80" s="25" t="s">
        <v>425</v>
      </c>
      <c r="N80" s="25" t="s">
        <v>426</v>
      </c>
      <c r="O80" s="26" t="s">
        <v>427</v>
      </c>
      <c r="P80" s="27" t="s">
        <v>428</v>
      </c>
      <c r="Q80" s="27" t="s">
        <v>25</v>
      </c>
      <c r="R80" s="64" t="s">
        <v>39</v>
      </c>
      <c r="S80" s="29">
        <v>69</v>
      </c>
      <c r="T80" s="1"/>
    </row>
    <row r="81" spans="1:34" s="30" customFormat="1" x14ac:dyDescent="0.3">
      <c r="A81" s="16">
        <v>78</v>
      </c>
      <c r="B81" s="17" t="s">
        <v>429</v>
      </c>
      <c r="C81" s="18" t="s">
        <v>430</v>
      </c>
      <c r="D81" s="19">
        <v>46017</v>
      </c>
      <c r="E81" s="28"/>
      <c r="F81" s="28"/>
      <c r="G81" s="20"/>
      <c r="H81" s="20"/>
      <c r="I81" s="21">
        <v>77.884399999999999</v>
      </c>
      <c r="J81" s="22">
        <f>ROUND(I81*H81,2)</f>
        <v>0</v>
      </c>
      <c r="K81" s="23" t="e">
        <f>ROUND(G81/J81,4)</f>
        <v>#DIV/0!</v>
      </c>
      <c r="L81" s="24" t="e">
        <f>1-K81</f>
        <v>#DIV/0!</v>
      </c>
      <c r="M81" s="25" t="s">
        <v>431</v>
      </c>
      <c r="N81" s="25" t="s">
        <v>432</v>
      </c>
      <c r="O81" s="26" t="s">
        <v>433</v>
      </c>
      <c r="P81" s="27" t="s">
        <v>434</v>
      </c>
      <c r="Q81" s="27" t="s">
        <v>25</v>
      </c>
      <c r="R81" s="21" t="s">
        <v>39</v>
      </c>
      <c r="S81" s="29">
        <v>70</v>
      </c>
      <c r="T81" s="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s="30" customFormat="1" x14ac:dyDescent="0.3">
      <c r="A82" s="31">
        <v>79</v>
      </c>
      <c r="B82" s="32" t="s">
        <v>435</v>
      </c>
      <c r="C82" s="33" t="s">
        <v>436</v>
      </c>
      <c r="D82" s="19">
        <v>46017</v>
      </c>
      <c r="E82" s="28"/>
      <c r="F82" s="28"/>
      <c r="G82" s="20"/>
      <c r="H82" s="20"/>
      <c r="I82" s="21">
        <v>77.884399999999999</v>
      </c>
      <c r="J82" s="22">
        <f>ROUND(I82*H82,2)</f>
        <v>0</v>
      </c>
      <c r="K82" s="23" t="e">
        <f>ROUND(G82/J82,4)</f>
        <v>#DIV/0!</v>
      </c>
      <c r="L82" s="24" t="e">
        <f>1-K82</f>
        <v>#DIV/0!</v>
      </c>
      <c r="M82" s="25" t="s">
        <v>437</v>
      </c>
      <c r="N82" s="25" t="s">
        <v>438</v>
      </c>
      <c r="O82" s="26" t="s">
        <v>439</v>
      </c>
      <c r="P82" s="27" t="s">
        <v>440</v>
      </c>
      <c r="Q82" s="27" t="s">
        <v>25</v>
      </c>
      <c r="R82" s="64" t="s">
        <v>39</v>
      </c>
      <c r="S82" s="29">
        <v>71</v>
      </c>
      <c r="T82" s="1"/>
    </row>
    <row r="83" spans="1:34" s="30" customFormat="1" x14ac:dyDescent="0.3">
      <c r="A83" s="31">
        <v>80</v>
      </c>
      <c r="B83" s="26" t="s">
        <v>441</v>
      </c>
      <c r="C83" s="27" t="s">
        <v>442</v>
      </c>
      <c r="D83" s="19">
        <v>46017</v>
      </c>
      <c r="E83" s="28"/>
      <c r="F83" s="28"/>
      <c r="G83" s="20"/>
      <c r="H83" s="20"/>
      <c r="I83" s="21">
        <v>77.884399999999999</v>
      </c>
      <c r="J83" s="22">
        <f>ROUND(I83*H83,2)</f>
        <v>0</v>
      </c>
      <c r="K83" s="23" t="e">
        <f>ROUND(G83/J83,4)</f>
        <v>#DIV/0!</v>
      </c>
      <c r="L83" s="24" t="e">
        <f>1-K83</f>
        <v>#DIV/0!</v>
      </c>
      <c r="M83" s="25"/>
      <c r="N83" s="25"/>
      <c r="O83" s="26" t="s">
        <v>443</v>
      </c>
      <c r="P83" s="27" t="s">
        <v>444</v>
      </c>
      <c r="Q83" s="27" t="s">
        <v>445</v>
      </c>
      <c r="R83" s="21" t="s">
        <v>26</v>
      </c>
      <c r="S83" s="29"/>
      <c r="T83" s="1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s="30" customFormat="1" x14ac:dyDescent="0.3">
      <c r="A84" s="31">
        <v>81</v>
      </c>
      <c r="B84" s="26" t="s">
        <v>446</v>
      </c>
      <c r="C84" s="27" t="s">
        <v>447</v>
      </c>
      <c r="D84" s="19">
        <v>46017</v>
      </c>
      <c r="E84" s="28"/>
      <c r="F84" s="28"/>
      <c r="G84" s="20"/>
      <c r="H84" s="20"/>
      <c r="I84" s="21">
        <v>77.884399999999999</v>
      </c>
      <c r="J84" s="22">
        <f>ROUND(I84*H84,2)</f>
        <v>0</v>
      </c>
      <c r="K84" s="23" t="e">
        <f>ROUND(G84/J84,4)</f>
        <v>#DIV/0!</v>
      </c>
      <c r="L84" s="24" t="e">
        <f>1-K84</f>
        <v>#DIV/0!</v>
      </c>
      <c r="M84" s="25"/>
      <c r="N84" s="25"/>
      <c r="O84" s="26" t="s">
        <v>448</v>
      </c>
      <c r="P84" s="27" t="s">
        <v>449</v>
      </c>
      <c r="Q84" s="27" t="s">
        <v>450</v>
      </c>
      <c r="R84" s="21" t="s">
        <v>26</v>
      </c>
      <c r="S84" s="29"/>
      <c r="T84" s="1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s="30" customFormat="1" x14ac:dyDescent="0.3">
      <c r="A85" s="31">
        <v>82</v>
      </c>
      <c r="B85" s="26" t="s">
        <v>451</v>
      </c>
      <c r="C85" s="27" t="s">
        <v>452</v>
      </c>
      <c r="D85" s="19">
        <v>46017</v>
      </c>
      <c r="E85" s="28"/>
      <c r="F85" s="28"/>
      <c r="G85" s="20"/>
      <c r="H85" s="20"/>
      <c r="I85" s="21">
        <v>77.884399999999999</v>
      </c>
      <c r="J85" s="22">
        <f>ROUND(I85*H85,2)</f>
        <v>0</v>
      </c>
      <c r="K85" s="23" t="e">
        <f>ROUND(G85/J85,4)</f>
        <v>#DIV/0!</v>
      </c>
      <c r="L85" s="24" t="e">
        <f>1-K85</f>
        <v>#DIV/0!</v>
      </c>
      <c r="M85" s="25"/>
      <c r="N85" s="25"/>
      <c r="O85" s="26" t="s">
        <v>453</v>
      </c>
      <c r="P85" s="27" t="s">
        <v>454</v>
      </c>
      <c r="Q85" s="27" t="s">
        <v>100</v>
      </c>
      <c r="R85" s="21" t="s">
        <v>26</v>
      </c>
      <c r="S85" s="29"/>
      <c r="T85" s="1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s="30" customFormat="1" x14ac:dyDescent="0.3">
      <c r="A86" s="16">
        <v>83</v>
      </c>
      <c r="B86" s="17" t="s">
        <v>455</v>
      </c>
      <c r="C86" s="34" t="s">
        <v>456</v>
      </c>
      <c r="D86" s="19">
        <v>46017</v>
      </c>
      <c r="E86" s="28"/>
      <c r="F86" s="28"/>
      <c r="G86" s="20"/>
      <c r="H86" s="20"/>
      <c r="I86" s="21">
        <v>77.884399999999999</v>
      </c>
      <c r="J86" s="22">
        <f>ROUND(I86*H86,2)</f>
        <v>0</v>
      </c>
      <c r="K86" s="23" t="e">
        <f>ROUND(G86/J86,4)</f>
        <v>#DIV/0!</v>
      </c>
      <c r="L86" s="24" t="e">
        <f>1-K86</f>
        <v>#DIV/0!</v>
      </c>
      <c r="M86" s="25" t="s">
        <v>457</v>
      </c>
      <c r="N86" s="25" t="s">
        <v>458</v>
      </c>
      <c r="O86" s="26" t="s">
        <v>459</v>
      </c>
      <c r="P86" s="27" t="s">
        <v>68</v>
      </c>
      <c r="Q86" s="27" t="s">
        <v>25</v>
      </c>
      <c r="R86" s="21" t="s">
        <v>26</v>
      </c>
      <c r="S86" s="29">
        <v>72</v>
      </c>
      <c r="T86" s="1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s="30" customFormat="1" x14ac:dyDescent="0.3">
      <c r="A87" s="16">
        <v>84</v>
      </c>
      <c r="B87" s="17" t="s">
        <v>460</v>
      </c>
      <c r="C87" s="18" t="s">
        <v>461</v>
      </c>
      <c r="D87" s="19">
        <v>46017</v>
      </c>
      <c r="E87" s="28"/>
      <c r="F87" s="28"/>
      <c r="G87" s="20"/>
      <c r="H87" s="20"/>
      <c r="I87" s="21">
        <v>77.884399999999999</v>
      </c>
      <c r="J87" s="22">
        <f>ROUND(I87*H87,2)</f>
        <v>0</v>
      </c>
      <c r="K87" s="23" t="e">
        <f>ROUND(G87/J87,4)</f>
        <v>#DIV/0!</v>
      </c>
      <c r="L87" s="24" t="e">
        <f>1-K87</f>
        <v>#DIV/0!</v>
      </c>
      <c r="M87" s="25" t="s">
        <v>462</v>
      </c>
      <c r="N87" s="25" t="s">
        <v>463</v>
      </c>
      <c r="O87" s="26" t="s">
        <v>464</v>
      </c>
      <c r="P87" s="27" t="s">
        <v>74</v>
      </c>
      <c r="Q87" s="27" t="s">
        <v>25</v>
      </c>
      <c r="R87" s="64" t="s">
        <v>39</v>
      </c>
      <c r="S87" s="29">
        <v>73</v>
      </c>
      <c r="T87" s="1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s="30" customFormat="1" x14ac:dyDescent="0.3">
      <c r="A88" s="31">
        <v>85</v>
      </c>
      <c r="B88" s="26" t="s">
        <v>465</v>
      </c>
      <c r="C88" s="27" t="s">
        <v>466</v>
      </c>
      <c r="D88" s="19">
        <v>46017</v>
      </c>
      <c r="E88" s="28"/>
      <c r="F88" s="28"/>
      <c r="G88" s="20"/>
      <c r="H88" s="20"/>
      <c r="I88" s="21">
        <v>77.884399999999999</v>
      </c>
      <c r="J88" s="22">
        <f>ROUND(I88*H88,2)</f>
        <v>0</v>
      </c>
      <c r="K88" s="23" t="e">
        <f>ROUND(G88/J88,4)</f>
        <v>#DIV/0!</v>
      </c>
      <c r="L88" s="24" t="e">
        <f>1-K88</f>
        <v>#DIV/0!</v>
      </c>
      <c r="M88" s="25"/>
      <c r="N88" s="25"/>
      <c r="O88" s="26" t="s">
        <v>467</v>
      </c>
      <c r="P88" s="27" t="s">
        <v>24</v>
      </c>
      <c r="Q88" s="27" t="s">
        <v>100</v>
      </c>
      <c r="R88" s="21" t="s">
        <v>26</v>
      </c>
      <c r="S88" s="29"/>
      <c r="T88" s="1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s="30" customFormat="1" x14ac:dyDescent="0.3">
      <c r="A89" s="16">
        <v>86</v>
      </c>
      <c r="B89" s="17" t="s">
        <v>468</v>
      </c>
      <c r="C89" s="18" t="s">
        <v>469</v>
      </c>
      <c r="D89" s="19">
        <v>46017</v>
      </c>
      <c r="E89" s="28"/>
      <c r="F89" s="28"/>
      <c r="G89" s="20"/>
      <c r="H89" s="20"/>
      <c r="I89" s="21">
        <v>77.884399999999999</v>
      </c>
      <c r="J89" s="22">
        <f>ROUND(I89*H89,2)</f>
        <v>0</v>
      </c>
      <c r="K89" s="23" t="e">
        <f>ROUND(G89/J89,4)</f>
        <v>#DIV/0!</v>
      </c>
      <c r="L89" s="24" t="e">
        <f>1-K89</f>
        <v>#DIV/0!</v>
      </c>
      <c r="M89" s="25" t="s">
        <v>470</v>
      </c>
      <c r="N89" s="25" t="s">
        <v>471</v>
      </c>
      <c r="O89" s="26" t="s">
        <v>472</v>
      </c>
      <c r="P89" s="27" t="s">
        <v>74</v>
      </c>
      <c r="Q89" s="27" t="s">
        <v>25</v>
      </c>
      <c r="R89" s="21" t="s">
        <v>39</v>
      </c>
      <c r="S89" s="29">
        <v>74</v>
      </c>
      <c r="T89" s="1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s="30" customFormat="1" x14ac:dyDescent="0.3">
      <c r="A90" s="16">
        <v>87</v>
      </c>
      <c r="B90" s="17" t="s">
        <v>473</v>
      </c>
      <c r="C90" s="34" t="s">
        <v>474</v>
      </c>
      <c r="D90" s="19">
        <v>46017</v>
      </c>
      <c r="E90" s="28"/>
      <c r="F90" s="28"/>
      <c r="G90" s="20"/>
      <c r="H90" s="20"/>
      <c r="I90" s="21">
        <v>77.884399999999999</v>
      </c>
      <c r="J90" s="22">
        <f>ROUND(I90*H90,2)</f>
        <v>0</v>
      </c>
      <c r="K90" s="23" t="e">
        <f>ROUND(G90/J90,4)</f>
        <v>#DIV/0!</v>
      </c>
      <c r="L90" s="24" t="e">
        <f>1-K90</f>
        <v>#DIV/0!</v>
      </c>
      <c r="M90" s="25" t="s">
        <v>475</v>
      </c>
      <c r="N90" s="25" t="s">
        <v>476</v>
      </c>
      <c r="O90" s="26" t="s">
        <v>477</v>
      </c>
      <c r="P90" s="27" t="s">
        <v>68</v>
      </c>
      <c r="Q90" s="27" t="s">
        <v>25</v>
      </c>
      <c r="R90" s="21" t="s">
        <v>26</v>
      </c>
      <c r="S90" s="29">
        <v>75</v>
      </c>
      <c r="T90" s="1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s="45" customFormat="1" x14ac:dyDescent="0.3">
      <c r="A91" s="38">
        <v>88</v>
      </c>
      <c r="B91" s="32" t="s">
        <v>478</v>
      </c>
      <c r="C91" s="33" t="s">
        <v>479</v>
      </c>
      <c r="D91" s="19">
        <v>46017</v>
      </c>
      <c r="E91" s="43"/>
      <c r="F91" s="43"/>
      <c r="G91" s="20"/>
      <c r="H91" s="20"/>
      <c r="I91" s="21">
        <v>77.884399999999999</v>
      </c>
      <c r="J91" s="22">
        <f>ROUND(I91*H91,2)</f>
        <v>0</v>
      </c>
      <c r="K91" s="23" t="e">
        <f>ROUND(G91/J91,4)</f>
        <v>#DIV/0!</v>
      </c>
      <c r="L91" s="24" t="e">
        <f>1-K91</f>
        <v>#DIV/0!</v>
      </c>
      <c r="M91" s="40" t="s">
        <v>480</v>
      </c>
      <c r="N91" s="40" t="s">
        <v>481</v>
      </c>
      <c r="O91" s="41" t="s">
        <v>3875</v>
      </c>
      <c r="P91" s="42" t="s">
        <v>482</v>
      </c>
      <c r="Q91" s="42" t="s">
        <v>25</v>
      </c>
      <c r="R91" s="39" t="s">
        <v>26</v>
      </c>
      <c r="S91" s="29">
        <v>76</v>
      </c>
      <c r="T91" s="44"/>
    </row>
    <row r="92" spans="1:34" s="30" customFormat="1" x14ac:dyDescent="0.3">
      <c r="A92" s="16">
        <v>89</v>
      </c>
      <c r="B92" s="17" t="s">
        <v>483</v>
      </c>
      <c r="C92" s="18" t="s">
        <v>484</v>
      </c>
      <c r="D92" s="19">
        <v>46017</v>
      </c>
      <c r="E92" s="28"/>
      <c r="F92" s="28"/>
      <c r="G92" s="20"/>
      <c r="H92" s="20"/>
      <c r="I92" s="21">
        <v>77.884399999999999</v>
      </c>
      <c r="J92" s="22">
        <f>ROUND(I92*H92,2)</f>
        <v>0</v>
      </c>
      <c r="K92" s="23" t="e">
        <f>ROUND(G92/J92,4)</f>
        <v>#DIV/0!</v>
      </c>
      <c r="L92" s="24" t="e">
        <f>1-K92</f>
        <v>#DIV/0!</v>
      </c>
      <c r="M92" s="25" t="s">
        <v>485</v>
      </c>
      <c r="N92" s="25" t="s">
        <v>486</v>
      </c>
      <c r="O92" s="26" t="s">
        <v>487</v>
      </c>
      <c r="P92" s="27" t="s">
        <v>68</v>
      </c>
      <c r="Q92" s="27" t="s">
        <v>25</v>
      </c>
      <c r="R92" s="64" t="s">
        <v>39</v>
      </c>
      <c r="S92" s="29">
        <v>77</v>
      </c>
      <c r="T92" s="1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s="30" customFormat="1" x14ac:dyDescent="0.3">
      <c r="A93" s="16">
        <v>90</v>
      </c>
      <c r="B93" s="17" t="s">
        <v>488</v>
      </c>
      <c r="C93" s="18" t="s">
        <v>489</v>
      </c>
      <c r="D93" s="19">
        <v>46017</v>
      </c>
      <c r="E93" s="28"/>
      <c r="F93" s="28"/>
      <c r="G93" s="20"/>
      <c r="H93" s="20"/>
      <c r="I93" s="21">
        <v>77.884399999999999</v>
      </c>
      <c r="J93" s="22">
        <f>ROUND(I93*H93,2)</f>
        <v>0</v>
      </c>
      <c r="K93" s="23" t="e">
        <f>ROUND(G93/J93,4)</f>
        <v>#DIV/0!</v>
      </c>
      <c r="L93" s="24" t="e">
        <f>1-K93</f>
        <v>#DIV/0!</v>
      </c>
      <c r="M93" s="25" t="s">
        <v>490</v>
      </c>
      <c r="N93" s="25" t="s">
        <v>491</v>
      </c>
      <c r="O93" s="26" t="s">
        <v>492</v>
      </c>
      <c r="P93" s="27" t="s">
        <v>351</v>
      </c>
      <c r="Q93" s="27" t="s">
        <v>25</v>
      </c>
      <c r="R93" s="21" t="s">
        <v>26</v>
      </c>
      <c r="S93" s="29">
        <v>78</v>
      </c>
      <c r="T93" s="1"/>
    </row>
    <row r="94" spans="1:34" s="30" customFormat="1" x14ac:dyDescent="0.3">
      <c r="A94" s="31">
        <v>91</v>
      </c>
      <c r="B94" s="26" t="s">
        <v>493</v>
      </c>
      <c r="C94" s="27" t="s">
        <v>494</v>
      </c>
      <c r="D94" s="19">
        <v>46017</v>
      </c>
      <c r="E94" s="28"/>
      <c r="F94" s="28"/>
      <c r="G94" s="20"/>
      <c r="H94" s="20"/>
      <c r="I94" s="21">
        <v>77.884399999999999</v>
      </c>
      <c r="J94" s="22">
        <f>ROUND(I94*H94,2)</f>
        <v>0</v>
      </c>
      <c r="K94" s="23" t="e">
        <f>ROUND(G94/J94,4)</f>
        <v>#DIV/0!</v>
      </c>
      <c r="L94" s="24" t="e">
        <f>1-K94</f>
        <v>#DIV/0!</v>
      </c>
      <c r="M94" s="25"/>
      <c r="N94" s="25"/>
      <c r="O94" s="26" t="s">
        <v>495</v>
      </c>
      <c r="P94" s="27" t="s">
        <v>496</v>
      </c>
      <c r="Q94" s="27" t="s">
        <v>445</v>
      </c>
      <c r="R94" s="21" t="s">
        <v>26</v>
      </c>
      <c r="S94" s="29"/>
      <c r="T94" s="1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s="30" customFormat="1" x14ac:dyDescent="0.3">
      <c r="A95" s="16">
        <v>92</v>
      </c>
      <c r="B95" s="17" t="s">
        <v>497</v>
      </c>
      <c r="C95" s="18" t="s">
        <v>498</v>
      </c>
      <c r="D95" s="19">
        <v>46017</v>
      </c>
      <c r="E95" s="28"/>
      <c r="F95" s="28"/>
      <c r="G95" s="20"/>
      <c r="H95" s="20"/>
      <c r="I95" s="21">
        <v>77.884399999999999</v>
      </c>
      <c r="J95" s="22">
        <f>ROUND(I95*H95,2)</f>
        <v>0</v>
      </c>
      <c r="K95" s="23" t="e">
        <f>ROUND(G95/J95,4)</f>
        <v>#DIV/0!</v>
      </c>
      <c r="L95" s="24" t="e">
        <f>1-K95</f>
        <v>#DIV/0!</v>
      </c>
      <c r="M95" s="25" t="s">
        <v>499</v>
      </c>
      <c r="N95" s="25" t="s">
        <v>500</v>
      </c>
      <c r="O95" s="26" t="s">
        <v>501</v>
      </c>
      <c r="P95" s="27" t="s">
        <v>502</v>
      </c>
      <c r="Q95" s="27" t="s">
        <v>25</v>
      </c>
      <c r="R95" s="21" t="s">
        <v>26</v>
      </c>
      <c r="S95" s="29">
        <v>79</v>
      </c>
      <c r="T95" s="1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s="30" customFormat="1" x14ac:dyDescent="0.3">
      <c r="A96" s="31">
        <v>93</v>
      </c>
      <c r="B96" s="32" t="s">
        <v>503</v>
      </c>
      <c r="C96" s="33" t="s">
        <v>504</v>
      </c>
      <c r="D96" s="19">
        <v>46017</v>
      </c>
      <c r="E96" s="28"/>
      <c r="F96" s="28"/>
      <c r="G96" s="20"/>
      <c r="H96" s="20"/>
      <c r="I96" s="21">
        <v>77.884399999999999</v>
      </c>
      <c r="J96" s="22">
        <f>ROUND(I96*H96,2)</f>
        <v>0</v>
      </c>
      <c r="K96" s="23" t="e">
        <f>ROUND(G96/J96,4)</f>
        <v>#DIV/0!</v>
      </c>
      <c r="L96" s="24" t="e">
        <f>1-K96</f>
        <v>#DIV/0!</v>
      </c>
      <c r="M96" s="25" t="s">
        <v>505</v>
      </c>
      <c r="N96" s="25" t="s">
        <v>506</v>
      </c>
      <c r="O96" s="26" t="s">
        <v>507</v>
      </c>
      <c r="P96" s="27" t="s">
        <v>281</v>
      </c>
      <c r="Q96" s="27" t="s">
        <v>25</v>
      </c>
      <c r="R96" s="64" t="s">
        <v>39</v>
      </c>
      <c r="S96" s="29">
        <v>80</v>
      </c>
      <c r="T96" s="1"/>
    </row>
    <row r="97" spans="1:34" s="30" customFormat="1" x14ac:dyDescent="0.3">
      <c r="A97" s="31">
        <v>94</v>
      </c>
      <c r="B97" s="26" t="s">
        <v>508</v>
      </c>
      <c r="C97" s="27" t="s">
        <v>509</v>
      </c>
      <c r="D97" s="19">
        <v>46017</v>
      </c>
      <c r="E97" s="28"/>
      <c r="F97" s="28"/>
      <c r="G97" s="20"/>
      <c r="H97" s="20"/>
      <c r="I97" s="21">
        <v>77.884399999999999</v>
      </c>
      <c r="J97" s="22">
        <f>ROUND(I97*H97,2)</f>
        <v>0</v>
      </c>
      <c r="K97" s="23" t="e">
        <f>ROUND(G97/J97,4)</f>
        <v>#DIV/0!</v>
      </c>
      <c r="L97" s="24" t="e">
        <f>1-K97</f>
        <v>#DIV/0!</v>
      </c>
      <c r="M97" s="25"/>
      <c r="N97" s="25"/>
      <c r="O97" s="26" t="s">
        <v>510</v>
      </c>
      <c r="P97" s="27" t="s">
        <v>281</v>
      </c>
      <c r="Q97" s="27" t="s">
        <v>25</v>
      </c>
      <c r="R97" s="21" t="s">
        <v>26</v>
      </c>
      <c r="S97" s="29"/>
      <c r="T97" s="1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s="30" customFormat="1" x14ac:dyDescent="0.3">
      <c r="A98" s="16">
        <v>95</v>
      </c>
      <c r="B98" s="17" t="s">
        <v>511</v>
      </c>
      <c r="C98" s="34" t="s">
        <v>512</v>
      </c>
      <c r="D98" s="19">
        <v>46017</v>
      </c>
      <c r="E98" s="28"/>
      <c r="F98" s="28"/>
      <c r="G98" s="20"/>
      <c r="H98" s="20"/>
      <c r="I98" s="21">
        <v>77.884399999999999</v>
      </c>
      <c r="J98" s="22">
        <f>ROUND(I98*H98,2)</f>
        <v>0</v>
      </c>
      <c r="K98" s="23" t="e">
        <f>ROUND(G98/J98,4)</f>
        <v>#DIV/0!</v>
      </c>
      <c r="L98" s="24" t="e">
        <f>1-K98</f>
        <v>#DIV/0!</v>
      </c>
      <c r="M98" s="25" t="s">
        <v>513</v>
      </c>
      <c r="N98" s="25" t="s">
        <v>514</v>
      </c>
      <c r="O98" s="26" t="s">
        <v>515</v>
      </c>
      <c r="P98" s="27"/>
      <c r="Q98" s="27"/>
      <c r="R98" s="21"/>
      <c r="S98" s="29">
        <v>81</v>
      </c>
      <c r="T98" s="1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s="30" customFormat="1" x14ac:dyDescent="0.3">
      <c r="A99" s="16">
        <v>96</v>
      </c>
      <c r="B99" s="17" t="s">
        <v>516</v>
      </c>
      <c r="C99" s="18" t="s">
        <v>517</v>
      </c>
      <c r="D99" s="19">
        <v>46017</v>
      </c>
      <c r="E99" s="28"/>
      <c r="F99" s="28"/>
      <c r="G99" s="20"/>
      <c r="H99" s="20"/>
      <c r="I99" s="21">
        <v>77.884399999999999</v>
      </c>
      <c r="J99" s="22">
        <f>ROUND(I99*H99,2)</f>
        <v>0</v>
      </c>
      <c r="K99" s="23" t="e">
        <f>ROUND(G99/J99,4)</f>
        <v>#DIV/0!</v>
      </c>
      <c r="L99" s="24" t="e">
        <f>1-K99</f>
        <v>#DIV/0!</v>
      </c>
      <c r="M99" s="25" t="s">
        <v>518</v>
      </c>
      <c r="N99" s="25" t="s">
        <v>519</v>
      </c>
      <c r="O99" s="26" t="s">
        <v>520</v>
      </c>
      <c r="P99" s="27" t="s">
        <v>74</v>
      </c>
      <c r="Q99" s="27" t="s">
        <v>25</v>
      </c>
      <c r="R99" s="21" t="s">
        <v>26</v>
      </c>
      <c r="S99" s="29">
        <v>82</v>
      </c>
      <c r="T99" s="1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s="30" customFormat="1" x14ac:dyDescent="0.3">
      <c r="A100" s="31">
        <v>97</v>
      </c>
      <c r="B100" s="26" t="s">
        <v>521</v>
      </c>
      <c r="C100" s="27" t="s">
        <v>522</v>
      </c>
      <c r="D100" s="19">
        <v>46017</v>
      </c>
      <c r="E100" s="28"/>
      <c r="F100" s="28"/>
      <c r="G100" s="20"/>
      <c r="H100" s="20"/>
      <c r="I100" s="21">
        <v>77.884399999999999</v>
      </c>
      <c r="J100" s="22">
        <f>ROUND(I100*H100,2)</f>
        <v>0</v>
      </c>
      <c r="K100" s="23" t="e">
        <f>ROUND(G100/J100,4)</f>
        <v>#DIV/0!</v>
      </c>
      <c r="L100" s="24" t="e">
        <f>1-K100</f>
        <v>#DIV/0!</v>
      </c>
      <c r="M100" s="25"/>
      <c r="N100" s="25"/>
      <c r="O100" s="26" t="s">
        <v>523</v>
      </c>
      <c r="P100" s="27" t="s">
        <v>281</v>
      </c>
      <c r="Q100" s="27" t="s">
        <v>25</v>
      </c>
      <c r="R100" s="21" t="s">
        <v>26</v>
      </c>
      <c r="S100" s="29"/>
      <c r="T100" s="1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s="30" customFormat="1" x14ac:dyDescent="0.3">
      <c r="A101" s="16">
        <v>98</v>
      </c>
      <c r="B101" s="17" t="s">
        <v>524</v>
      </c>
      <c r="C101" s="18" t="s">
        <v>525</v>
      </c>
      <c r="D101" s="19">
        <v>46017</v>
      </c>
      <c r="E101" s="28"/>
      <c r="F101" s="28"/>
      <c r="G101" s="20"/>
      <c r="H101" s="20"/>
      <c r="I101" s="21">
        <v>77.884399999999999</v>
      </c>
      <c r="J101" s="22">
        <f>ROUND(I101*H101,2)</f>
        <v>0</v>
      </c>
      <c r="K101" s="23" t="e">
        <f>ROUND(G101/J101,4)</f>
        <v>#DIV/0!</v>
      </c>
      <c r="L101" s="24" t="e">
        <f>1-K101</f>
        <v>#DIV/0!</v>
      </c>
      <c r="M101" s="25" t="s">
        <v>526</v>
      </c>
      <c r="N101" s="25" t="s">
        <v>527</v>
      </c>
      <c r="O101" s="26" t="s">
        <v>528</v>
      </c>
      <c r="P101" s="27" t="s">
        <v>68</v>
      </c>
      <c r="Q101" s="27" t="s">
        <v>25</v>
      </c>
      <c r="R101" s="21" t="s">
        <v>26</v>
      </c>
      <c r="S101" s="29">
        <v>83</v>
      </c>
      <c r="T101" s="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s="30" customFormat="1" x14ac:dyDescent="0.3">
      <c r="A102" s="31">
        <v>99</v>
      </c>
      <c r="B102" s="26" t="s">
        <v>529</v>
      </c>
      <c r="C102" s="27" t="s">
        <v>530</v>
      </c>
      <c r="D102" s="19">
        <v>46017</v>
      </c>
      <c r="E102" s="28"/>
      <c r="F102" s="28"/>
      <c r="G102" s="20"/>
      <c r="H102" s="20"/>
      <c r="I102" s="21">
        <v>77.884399999999999</v>
      </c>
      <c r="J102" s="22">
        <f>ROUND(I102*H102,2)</f>
        <v>0</v>
      </c>
      <c r="K102" s="23" t="e">
        <f>ROUND(G102/J102,4)</f>
        <v>#DIV/0!</v>
      </c>
      <c r="L102" s="24" t="e">
        <f>1-K102</f>
        <v>#DIV/0!</v>
      </c>
      <c r="M102" s="25"/>
      <c r="N102" s="25"/>
      <c r="O102" s="26" t="s">
        <v>531</v>
      </c>
      <c r="P102" s="27" t="s">
        <v>281</v>
      </c>
      <c r="Q102" s="27" t="s">
        <v>25</v>
      </c>
      <c r="R102" s="21" t="s">
        <v>26</v>
      </c>
      <c r="S102" s="29"/>
      <c r="T102" s="1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s="30" customFormat="1" x14ac:dyDescent="0.3">
      <c r="A103" s="16">
        <v>100</v>
      </c>
      <c r="B103" s="17" t="s">
        <v>532</v>
      </c>
      <c r="C103" s="18" t="s">
        <v>533</v>
      </c>
      <c r="D103" s="19">
        <v>46017</v>
      </c>
      <c r="E103" s="28"/>
      <c r="F103" s="28"/>
      <c r="G103" s="20"/>
      <c r="H103" s="20"/>
      <c r="I103" s="21">
        <v>77.884399999999999</v>
      </c>
      <c r="J103" s="22">
        <f>ROUND(I103*H103,2)</f>
        <v>0</v>
      </c>
      <c r="K103" s="23" t="e">
        <f>ROUND(G103/J103,4)</f>
        <v>#DIV/0!</v>
      </c>
      <c r="L103" s="24" t="e">
        <f>1-K103</f>
        <v>#DIV/0!</v>
      </c>
      <c r="M103" s="25" t="s">
        <v>534</v>
      </c>
      <c r="N103" s="25" t="s">
        <v>535</v>
      </c>
      <c r="O103" s="26" t="s">
        <v>536</v>
      </c>
      <c r="P103" s="27" t="s">
        <v>250</v>
      </c>
      <c r="Q103" s="27" t="s">
        <v>25</v>
      </c>
      <c r="R103" s="21" t="s">
        <v>26</v>
      </c>
      <c r="S103" s="29">
        <v>84</v>
      </c>
      <c r="T103" s="1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s="30" customFormat="1" x14ac:dyDescent="0.3">
      <c r="A104" s="16">
        <v>101</v>
      </c>
      <c r="B104" s="17" t="s">
        <v>537</v>
      </c>
      <c r="C104" s="18" t="s">
        <v>538</v>
      </c>
      <c r="D104" s="19">
        <v>46017</v>
      </c>
      <c r="E104" s="28"/>
      <c r="F104" s="28"/>
      <c r="G104" s="20"/>
      <c r="H104" s="20"/>
      <c r="I104" s="21">
        <v>77.884399999999999</v>
      </c>
      <c r="J104" s="22">
        <f>ROUND(I104*H104,2)</f>
        <v>0</v>
      </c>
      <c r="K104" s="23" t="e">
        <f>ROUND(G104/J104,4)</f>
        <v>#DIV/0!</v>
      </c>
      <c r="L104" s="24" t="e">
        <f>1-K104</f>
        <v>#DIV/0!</v>
      </c>
      <c r="M104" s="25" t="s">
        <v>539</v>
      </c>
      <c r="N104" s="25" t="s">
        <v>540</v>
      </c>
      <c r="O104" s="26" t="s">
        <v>541</v>
      </c>
      <c r="P104" s="27" t="s">
        <v>250</v>
      </c>
      <c r="Q104" s="27" t="s">
        <v>25</v>
      </c>
      <c r="R104" s="21" t="s">
        <v>39</v>
      </c>
      <c r="S104" s="29">
        <v>85</v>
      </c>
      <c r="T104" s="1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s="30" customFormat="1" x14ac:dyDescent="0.3">
      <c r="A105" s="16">
        <v>102</v>
      </c>
      <c r="B105" s="17" t="s">
        <v>542</v>
      </c>
      <c r="C105" s="18" t="s">
        <v>543</v>
      </c>
      <c r="D105" s="19">
        <v>46017</v>
      </c>
      <c r="E105" s="28"/>
      <c r="F105" s="28"/>
      <c r="G105" s="20"/>
      <c r="H105" s="20"/>
      <c r="I105" s="21">
        <v>77.884399999999999</v>
      </c>
      <c r="J105" s="22">
        <f>ROUND(I105*H105,2)</f>
        <v>0</v>
      </c>
      <c r="K105" s="23" t="e">
        <f>ROUND(G105/J105,4)</f>
        <v>#DIV/0!</v>
      </c>
      <c r="L105" s="24" t="e">
        <f>1-K105</f>
        <v>#DIV/0!</v>
      </c>
      <c r="M105" s="25" t="s">
        <v>544</v>
      </c>
      <c r="N105" s="25" t="s">
        <v>545</v>
      </c>
      <c r="O105" s="26" t="s">
        <v>546</v>
      </c>
      <c r="P105" s="27" t="s">
        <v>174</v>
      </c>
      <c r="Q105" s="27" t="s">
        <v>25</v>
      </c>
      <c r="R105" s="64" t="s">
        <v>26</v>
      </c>
      <c r="S105" s="29">
        <v>86</v>
      </c>
      <c r="T105" s="1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s="30" customFormat="1" x14ac:dyDescent="0.3">
      <c r="A106" s="31">
        <v>103</v>
      </c>
      <c r="B106" s="32" t="s">
        <v>547</v>
      </c>
      <c r="C106" s="33" t="s">
        <v>548</v>
      </c>
      <c r="D106" s="19">
        <v>46017</v>
      </c>
      <c r="E106" s="28"/>
      <c r="F106" s="28"/>
      <c r="G106" s="20"/>
      <c r="H106" s="20"/>
      <c r="I106" s="21">
        <v>77.884399999999999</v>
      </c>
      <c r="J106" s="22">
        <f>ROUND(I106*H106,2)</f>
        <v>0</v>
      </c>
      <c r="K106" s="23" t="e">
        <f>ROUND(G106/J106,4)</f>
        <v>#DIV/0!</v>
      </c>
      <c r="L106" s="24" t="e">
        <f>1-K106</f>
        <v>#DIV/0!</v>
      </c>
      <c r="M106" s="25" t="s">
        <v>549</v>
      </c>
      <c r="N106" s="25" t="s">
        <v>550</v>
      </c>
      <c r="O106" s="26" t="s">
        <v>551</v>
      </c>
      <c r="P106" s="27" t="s">
        <v>107</v>
      </c>
      <c r="Q106" s="27" t="s">
        <v>25</v>
      </c>
      <c r="R106" s="64" t="s">
        <v>26</v>
      </c>
      <c r="S106" s="29">
        <v>87</v>
      </c>
      <c r="T106" s="1"/>
    </row>
    <row r="107" spans="1:34" s="30" customFormat="1" x14ac:dyDescent="0.3">
      <c r="A107" s="16">
        <v>104</v>
      </c>
      <c r="B107" s="17" t="s">
        <v>552</v>
      </c>
      <c r="C107" s="18" t="s">
        <v>553</v>
      </c>
      <c r="D107" s="19">
        <v>46017</v>
      </c>
      <c r="E107" s="28"/>
      <c r="F107" s="28"/>
      <c r="G107" s="20"/>
      <c r="H107" s="20"/>
      <c r="I107" s="21">
        <v>77.884399999999999</v>
      </c>
      <c r="J107" s="22">
        <f>ROUND(I107*H107,2)</f>
        <v>0</v>
      </c>
      <c r="K107" s="23" t="e">
        <f>ROUND(G107/J107,4)</f>
        <v>#DIV/0!</v>
      </c>
      <c r="L107" s="24" t="e">
        <f>1-K107</f>
        <v>#DIV/0!</v>
      </c>
      <c r="M107" s="25" t="s">
        <v>554</v>
      </c>
      <c r="N107" s="25" t="s">
        <v>555</v>
      </c>
      <c r="O107" s="26" t="s">
        <v>556</v>
      </c>
      <c r="P107" s="27" t="s">
        <v>345</v>
      </c>
      <c r="Q107" s="27" t="s">
        <v>25</v>
      </c>
      <c r="R107" s="21" t="s">
        <v>26</v>
      </c>
      <c r="S107" s="29">
        <v>88</v>
      </c>
      <c r="T107" s="1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s="30" customFormat="1" x14ac:dyDescent="0.3">
      <c r="A108" s="16">
        <v>105</v>
      </c>
      <c r="B108" s="17" t="s">
        <v>557</v>
      </c>
      <c r="C108" s="18" t="s">
        <v>558</v>
      </c>
      <c r="D108" s="19">
        <v>46017</v>
      </c>
      <c r="E108" s="28"/>
      <c r="F108" s="28"/>
      <c r="G108" s="20"/>
      <c r="H108" s="20"/>
      <c r="I108" s="21">
        <v>77.884399999999999</v>
      </c>
      <c r="J108" s="22">
        <f>ROUND(I108*H108,2)</f>
        <v>0</v>
      </c>
      <c r="K108" s="23" t="e">
        <f>ROUND(G108/J108,4)</f>
        <v>#DIV/0!</v>
      </c>
      <c r="L108" s="24" t="e">
        <f>1-K108</f>
        <v>#DIV/0!</v>
      </c>
      <c r="M108" s="25" t="s">
        <v>559</v>
      </c>
      <c r="N108" s="25" t="s">
        <v>560</v>
      </c>
      <c r="O108" s="26" t="s">
        <v>561</v>
      </c>
      <c r="P108" s="27" t="s">
        <v>24</v>
      </c>
      <c r="Q108" s="27" t="s">
        <v>25</v>
      </c>
      <c r="R108" s="21" t="s">
        <v>26</v>
      </c>
      <c r="S108" s="29">
        <v>89</v>
      </c>
      <c r="T108" s="1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s="30" customFormat="1" x14ac:dyDescent="0.3">
      <c r="A109" s="31">
        <v>106</v>
      </c>
      <c r="B109" s="26" t="s">
        <v>562</v>
      </c>
      <c r="C109" s="27" t="s">
        <v>563</v>
      </c>
      <c r="D109" s="19">
        <v>46017</v>
      </c>
      <c r="E109" s="28"/>
      <c r="F109" s="28"/>
      <c r="G109" s="20"/>
      <c r="H109" s="20"/>
      <c r="I109" s="21">
        <v>77.884399999999999</v>
      </c>
      <c r="J109" s="22">
        <f>ROUND(I109*H109,2)</f>
        <v>0</v>
      </c>
      <c r="K109" s="23" t="e">
        <f>ROUND(G109/J109,4)</f>
        <v>#DIV/0!</v>
      </c>
      <c r="L109" s="24" t="e">
        <f>1-K109</f>
        <v>#DIV/0!</v>
      </c>
      <c r="M109" s="25"/>
      <c r="N109" s="25"/>
      <c r="O109" s="26" t="s">
        <v>564</v>
      </c>
      <c r="P109" s="27" t="s">
        <v>565</v>
      </c>
      <c r="Q109" s="27" t="s">
        <v>100</v>
      </c>
      <c r="R109" s="21" t="s">
        <v>26</v>
      </c>
      <c r="S109" s="29"/>
      <c r="T109" s="1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s="30" customFormat="1" x14ac:dyDescent="0.3">
      <c r="A110" s="31">
        <v>107</v>
      </c>
      <c r="B110" s="32" t="s">
        <v>566</v>
      </c>
      <c r="C110" s="33" t="s">
        <v>567</v>
      </c>
      <c r="D110" s="19">
        <v>46017</v>
      </c>
      <c r="E110" s="28"/>
      <c r="F110" s="28"/>
      <c r="G110" s="20"/>
      <c r="H110" s="20"/>
      <c r="I110" s="21">
        <v>77.884399999999999</v>
      </c>
      <c r="J110" s="22">
        <f>ROUND(I110*H110,2)</f>
        <v>0</v>
      </c>
      <c r="K110" s="23" t="e">
        <f>ROUND(G110/J110,4)</f>
        <v>#DIV/0!</v>
      </c>
      <c r="L110" s="24" t="e">
        <f>1-K110</f>
        <v>#DIV/0!</v>
      </c>
      <c r="M110" s="25" t="s">
        <v>568</v>
      </c>
      <c r="N110" s="25" t="s">
        <v>569</v>
      </c>
      <c r="O110" s="26" t="s">
        <v>570</v>
      </c>
      <c r="P110" s="27" t="s">
        <v>140</v>
      </c>
      <c r="Q110" s="27" t="s">
        <v>25</v>
      </c>
      <c r="R110" s="21" t="s">
        <v>39</v>
      </c>
      <c r="S110" s="29">
        <v>90</v>
      </c>
      <c r="T110" s="1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s="30" customFormat="1" x14ac:dyDescent="0.3">
      <c r="A111" s="31">
        <v>108</v>
      </c>
      <c r="B111" s="26" t="s">
        <v>571</v>
      </c>
      <c r="C111" s="27" t="s">
        <v>572</v>
      </c>
      <c r="D111" s="19">
        <v>46017</v>
      </c>
      <c r="E111" s="28"/>
      <c r="F111" s="28"/>
      <c r="G111" s="20"/>
      <c r="H111" s="20"/>
      <c r="I111" s="21">
        <v>77.884399999999999</v>
      </c>
      <c r="J111" s="22">
        <f>ROUND(I111*H111,2)</f>
        <v>0</v>
      </c>
      <c r="K111" s="23" t="e">
        <f>ROUND(G111/J111,4)</f>
        <v>#DIV/0!</v>
      </c>
      <c r="L111" s="24" t="e">
        <f>1-K111</f>
        <v>#DIV/0!</v>
      </c>
      <c r="M111" s="25"/>
      <c r="N111" s="25"/>
      <c r="O111" s="26" t="s">
        <v>573</v>
      </c>
      <c r="P111" s="27" t="s">
        <v>574</v>
      </c>
      <c r="Q111" s="27" t="s">
        <v>25</v>
      </c>
      <c r="R111" s="21" t="s">
        <v>26</v>
      </c>
      <c r="S111" s="29"/>
      <c r="T111" s="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s="30" customFormat="1" x14ac:dyDescent="0.3">
      <c r="A112" s="16">
        <v>109</v>
      </c>
      <c r="B112" s="17" t="s">
        <v>575</v>
      </c>
      <c r="C112" s="18" t="s">
        <v>576</v>
      </c>
      <c r="D112" s="19">
        <v>46017</v>
      </c>
      <c r="E112" s="28"/>
      <c r="F112" s="28"/>
      <c r="G112" s="20"/>
      <c r="H112" s="20"/>
      <c r="I112" s="21">
        <v>77.884399999999999</v>
      </c>
      <c r="J112" s="22">
        <f>ROUND(I112*H112,2)</f>
        <v>0</v>
      </c>
      <c r="K112" s="23" t="e">
        <f>ROUND(G112/J112,4)</f>
        <v>#DIV/0!</v>
      </c>
      <c r="L112" s="24" t="e">
        <f>1-K112</f>
        <v>#DIV/0!</v>
      </c>
      <c r="M112" s="25" t="s">
        <v>577</v>
      </c>
      <c r="N112" s="25" t="s">
        <v>578</v>
      </c>
      <c r="O112" s="26" t="s">
        <v>579</v>
      </c>
      <c r="P112" s="27" t="s">
        <v>580</v>
      </c>
      <c r="Q112" s="27" t="s">
        <v>25</v>
      </c>
      <c r="R112" s="64" t="s">
        <v>26</v>
      </c>
      <c r="S112" s="29">
        <v>91</v>
      </c>
      <c r="T112" s="1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s="30" customFormat="1" x14ac:dyDescent="0.3">
      <c r="A113" s="16">
        <v>110</v>
      </c>
      <c r="B113" s="17" t="s">
        <v>581</v>
      </c>
      <c r="C113" s="18" t="s">
        <v>582</v>
      </c>
      <c r="D113" s="19">
        <v>46017</v>
      </c>
      <c r="E113" s="28"/>
      <c r="F113" s="28"/>
      <c r="G113" s="20"/>
      <c r="H113" s="20"/>
      <c r="I113" s="21">
        <v>77.884399999999999</v>
      </c>
      <c r="J113" s="22">
        <f>ROUND(I113*H113,2)</f>
        <v>0</v>
      </c>
      <c r="K113" s="23" t="e">
        <f>ROUND(G113/J113,4)</f>
        <v>#DIV/0!</v>
      </c>
      <c r="L113" s="24" t="e">
        <f>1-K113</f>
        <v>#DIV/0!</v>
      </c>
      <c r="M113" s="25" t="s">
        <v>583</v>
      </c>
      <c r="N113" s="25" t="s">
        <v>584</v>
      </c>
      <c r="O113" s="26" t="s">
        <v>585</v>
      </c>
      <c r="P113" s="27" t="s">
        <v>74</v>
      </c>
      <c r="Q113" s="27" t="s">
        <v>25</v>
      </c>
      <c r="R113" s="21" t="s">
        <v>39</v>
      </c>
      <c r="S113" s="29">
        <v>92</v>
      </c>
      <c r="T113" s="1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s="30" customFormat="1" x14ac:dyDescent="0.3">
      <c r="A114" s="16">
        <v>111</v>
      </c>
      <c r="B114" s="17" t="s">
        <v>586</v>
      </c>
      <c r="C114" s="18" t="s">
        <v>587</v>
      </c>
      <c r="D114" s="19">
        <v>46017</v>
      </c>
      <c r="E114" s="28"/>
      <c r="F114" s="28"/>
      <c r="G114" s="20"/>
      <c r="H114" s="20"/>
      <c r="I114" s="21">
        <v>77.884399999999999</v>
      </c>
      <c r="J114" s="22">
        <f>ROUND(I114*H114,2)</f>
        <v>0</v>
      </c>
      <c r="K114" s="23" t="e">
        <f>ROUND(G114/J114,4)</f>
        <v>#DIV/0!</v>
      </c>
      <c r="L114" s="24" t="e">
        <f>1-K114</f>
        <v>#DIV/0!</v>
      </c>
      <c r="M114" s="25" t="s">
        <v>588</v>
      </c>
      <c r="N114" s="25" t="s">
        <v>589</v>
      </c>
      <c r="O114" s="26" t="s">
        <v>590</v>
      </c>
      <c r="P114" s="27" t="s">
        <v>32</v>
      </c>
      <c r="Q114" s="27" t="s">
        <v>25</v>
      </c>
      <c r="R114" s="64" t="s">
        <v>26</v>
      </c>
      <c r="S114" s="29">
        <v>93</v>
      </c>
      <c r="T114" s="1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s="30" customFormat="1" x14ac:dyDescent="0.3">
      <c r="A115" s="31">
        <v>112</v>
      </c>
      <c r="B115" s="32" t="s">
        <v>591</v>
      </c>
      <c r="C115" s="33" t="s">
        <v>592</v>
      </c>
      <c r="D115" s="19">
        <v>46017</v>
      </c>
      <c r="E115" s="28"/>
      <c r="F115" s="28"/>
      <c r="G115" s="20"/>
      <c r="H115" s="20"/>
      <c r="I115" s="21">
        <v>77.884399999999999</v>
      </c>
      <c r="J115" s="22">
        <f>ROUND(I115*H115,2)</f>
        <v>0</v>
      </c>
      <c r="K115" s="23" t="e">
        <f>ROUND(G115/J115,4)</f>
        <v>#DIV/0!</v>
      </c>
      <c r="L115" s="24" t="e">
        <f>1-K115</f>
        <v>#DIV/0!</v>
      </c>
      <c r="M115" s="25" t="s">
        <v>593</v>
      </c>
      <c r="N115" s="25" t="s">
        <v>594</v>
      </c>
      <c r="O115" s="26" t="s">
        <v>595</v>
      </c>
      <c r="P115" s="27" t="s">
        <v>281</v>
      </c>
      <c r="Q115" s="27" t="s">
        <v>25</v>
      </c>
      <c r="R115" s="64" t="s">
        <v>39</v>
      </c>
      <c r="S115" s="29">
        <v>94</v>
      </c>
      <c r="T115" s="1"/>
    </row>
    <row r="116" spans="1:34" s="30" customFormat="1" x14ac:dyDescent="0.3">
      <c r="A116" s="31">
        <v>113</v>
      </c>
      <c r="B116" s="26" t="s">
        <v>596</v>
      </c>
      <c r="C116" s="27" t="s">
        <v>597</v>
      </c>
      <c r="D116" s="19">
        <v>46017</v>
      </c>
      <c r="E116" s="28"/>
      <c r="F116" s="28"/>
      <c r="G116" s="20"/>
      <c r="H116" s="20"/>
      <c r="I116" s="21">
        <v>77.884399999999999</v>
      </c>
      <c r="J116" s="22">
        <f>ROUND(I116*H116,2)</f>
        <v>0</v>
      </c>
      <c r="K116" s="23" t="e">
        <f>ROUND(G116/J116,4)</f>
        <v>#DIV/0!</v>
      </c>
      <c r="L116" s="24" t="e">
        <f>1-K116</f>
        <v>#DIV/0!</v>
      </c>
      <c r="M116" s="25"/>
      <c r="N116" s="25"/>
      <c r="O116" s="26" t="s">
        <v>598</v>
      </c>
      <c r="P116" s="27" t="s">
        <v>599</v>
      </c>
      <c r="Q116" s="27" t="s">
        <v>600</v>
      </c>
      <c r="R116" s="21" t="s">
        <v>26</v>
      </c>
      <c r="S116" s="29"/>
      <c r="T116" s="1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s="30" customFormat="1" x14ac:dyDescent="0.3">
      <c r="A117" s="31">
        <v>114</v>
      </c>
      <c r="B117" s="32" t="s">
        <v>601</v>
      </c>
      <c r="C117" s="33" t="s">
        <v>602</v>
      </c>
      <c r="D117" s="19">
        <v>46017</v>
      </c>
      <c r="E117" s="28"/>
      <c r="F117" s="28"/>
      <c r="G117" s="20"/>
      <c r="H117" s="20"/>
      <c r="I117" s="21">
        <v>77.884399999999999</v>
      </c>
      <c r="J117" s="22">
        <f>ROUND(I117*H117,2)</f>
        <v>0</v>
      </c>
      <c r="K117" s="23" t="e">
        <f>ROUND(G117/J117,4)</f>
        <v>#DIV/0!</v>
      </c>
      <c r="L117" s="24" t="e">
        <f>1-K117</f>
        <v>#DIV/0!</v>
      </c>
      <c r="M117" s="25" t="s">
        <v>603</v>
      </c>
      <c r="N117" s="25" t="s">
        <v>604</v>
      </c>
      <c r="O117" s="26" t="s">
        <v>605</v>
      </c>
      <c r="P117" s="27" t="s">
        <v>606</v>
      </c>
      <c r="Q117" s="27" t="s">
        <v>25</v>
      </c>
      <c r="R117" s="21" t="s">
        <v>39</v>
      </c>
      <c r="S117" s="29">
        <v>95</v>
      </c>
      <c r="T117" s="1"/>
    </row>
    <row r="118" spans="1:34" s="30" customFormat="1" x14ac:dyDescent="0.3">
      <c r="A118" s="16">
        <v>115</v>
      </c>
      <c r="B118" s="17" t="s">
        <v>607</v>
      </c>
      <c r="C118" s="18" t="s">
        <v>608</v>
      </c>
      <c r="D118" s="19">
        <v>46017</v>
      </c>
      <c r="E118" s="28"/>
      <c r="F118" s="28"/>
      <c r="G118" s="20"/>
      <c r="H118" s="20"/>
      <c r="I118" s="21">
        <v>77.884399999999999</v>
      </c>
      <c r="J118" s="22">
        <f>ROUND(I118*H118,2)</f>
        <v>0</v>
      </c>
      <c r="K118" s="23" t="e">
        <f>ROUND(G118/J118,4)</f>
        <v>#DIV/0!</v>
      </c>
      <c r="L118" s="24" t="e">
        <f>1-K118</f>
        <v>#DIV/0!</v>
      </c>
      <c r="M118" s="25" t="s">
        <v>609</v>
      </c>
      <c r="N118" s="25" t="s">
        <v>610</v>
      </c>
      <c r="O118" s="26" t="s">
        <v>611</v>
      </c>
      <c r="P118" s="27" t="s">
        <v>32</v>
      </c>
      <c r="Q118" s="27" t="s">
        <v>25</v>
      </c>
      <c r="R118" s="21" t="s">
        <v>39</v>
      </c>
      <c r="S118" s="29">
        <v>96</v>
      </c>
      <c r="T118" s="1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s="30" customFormat="1" x14ac:dyDescent="0.3">
      <c r="A119" s="16">
        <v>116</v>
      </c>
      <c r="B119" s="17" t="s">
        <v>612</v>
      </c>
      <c r="C119" s="18" t="s">
        <v>613</v>
      </c>
      <c r="D119" s="19">
        <v>46017</v>
      </c>
      <c r="E119" s="28"/>
      <c r="F119" s="28"/>
      <c r="G119" s="20"/>
      <c r="H119" s="20"/>
      <c r="I119" s="21">
        <v>77.884399999999999</v>
      </c>
      <c r="J119" s="22">
        <f>ROUND(I119*H119,2)</f>
        <v>0</v>
      </c>
      <c r="K119" s="23" t="e">
        <f>ROUND(G119/J119,4)</f>
        <v>#DIV/0!</v>
      </c>
      <c r="L119" s="24" t="e">
        <f>1-K119</f>
        <v>#DIV/0!</v>
      </c>
      <c r="M119" s="25" t="s">
        <v>614</v>
      </c>
      <c r="N119" s="25" t="s">
        <v>615</v>
      </c>
      <c r="O119" s="26" t="s">
        <v>616</v>
      </c>
      <c r="P119" s="27" t="s">
        <v>351</v>
      </c>
      <c r="Q119" s="27" t="s">
        <v>25</v>
      </c>
      <c r="R119" s="21" t="s">
        <v>39</v>
      </c>
      <c r="S119" s="29">
        <v>97</v>
      </c>
      <c r="T119" s="1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s="30" customFormat="1" x14ac:dyDescent="0.3">
      <c r="A120" s="16">
        <v>117</v>
      </c>
      <c r="B120" s="17" t="s">
        <v>617</v>
      </c>
      <c r="C120" s="18" t="s">
        <v>618</v>
      </c>
      <c r="D120" s="19">
        <v>46017</v>
      </c>
      <c r="E120" s="28"/>
      <c r="F120" s="28"/>
      <c r="G120" s="20"/>
      <c r="H120" s="20"/>
      <c r="I120" s="21">
        <v>77.884399999999999</v>
      </c>
      <c r="J120" s="22">
        <f>ROUND(I120*H120,2)</f>
        <v>0</v>
      </c>
      <c r="K120" s="23" t="e">
        <f>ROUND(G120/J120,4)</f>
        <v>#DIV/0!</v>
      </c>
      <c r="L120" s="24" t="e">
        <f>1-K120</f>
        <v>#DIV/0!</v>
      </c>
      <c r="M120" s="25" t="s">
        <v>619</v>
      </c>
      <c r="N120" s="25" t="s">
        <v>620</v>
      </c>
      <c r="O120" s="26" t="s">
        <v>621</v>
      </c>
      <c r="P120" s="27" t="s">
        <v>622</v>
      </c>
      <c r="Q120" s="27" t="s">
        <v>25</v>
      </c>
      <c r="R120" s="21" t="s">
        <v>39</v>
      </c>
      <c r="S120" s="29">
        <v>98</v>
      </c>
      <c r="T120" s="1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s="30" customFormat="1" x14ac:dyDescent="0.3">
      <c r="A121" s="16">
        <v>118</v>
      </c>
      <c r="B121" s="17" t="s">
        <v>623</v>
      </c>
      <c r="C121" s="18" t="s">
        <v>624</v>
      </c>
      <c r="D121" s="19">
        <v>46017</v>
      </c>
      <c r="E121" s="28"/>
      <c r="F121" s="28"/>
      <c r="G121" s="20"/>
      <c r="H121" s="20"/>
      <c r="I121" s="21">
        <v>77.884399999999999</v>
      </c>
      <c r="J121" s="22">
        <f>ROUND(I121*H121,2)</f>
        <v>0</v>
      </c>
      <c r="K121" s="23" t="e">
        <f>ROUND(G121/J121,4)</f>
        <v>#DIV/0!</v>
      </c>
      <c r="L121" s="24" t="e">
        <f>1-K121</f>
        <v>#DIV/0!</v>
      </c>
      <c r="M121" s="25" t="s">
        <v>625</v>
      </c>
      <c r="N121" s="25" t="s">
        <v>626</v>
      </c>
      <c r="O121" s="26" t="s">
        <v>627</v>
      </c>
      <c r="P121" s="27" t="s">
        <v>628</v>
      </c>
      <c r="Q121" s="27" t="s">
        <v>25</v>
      </c>
      <c r="R121" s="21" t="s">
        <v>39</v>
      </c>
      <c r="S121" s="29">
        <v>99</v>
      </c>
      <c r="T121" s="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s="30" customFormat="1" x14ac:dyDescent="0.3">
      <c r="A122" s="31">
        <v>119</v>
      </c>
      <c r="B122" s="32" t="s">
        <v>629</v>
      </c>
      <c r="C122" s="33" t="s">
        <v>630</v>
      </c>
      <c r="D122" s="19">
        <v>46017</v>
      </c>
      <c r="E122" s="28"/>
      <c r="F122" s="28"/>
      <c r="G122" s="20"/>
      <c r="H122" s="20"/>
      <c r="I122" s="21">
        <v>77.884399999999999</v>
      </c>
      <c r="J122" s="22">
        <f>ROUND(I122*H122,2)</f>
        <v>0</v>
      </c>
      <c r="K122" s="23" t="e">
        <f>ROUND(G122/J122,4)</f>
        <v>#DIV/0!</v>
      </c>
      <c r="L122" s="24" t="e">
        <f>1-K122</f>
        <v>#DIV/0!</v>
      </c>
      <c r="M122" s="25" t="s">
        <v>631</v>
      </c>
      <c r="N122" s="25" t="s">
        <v>632</v>
      </c>
      <c r="O122" s="26" t="s">
        <v>633</v>
      </c>
      <c r="P122" s="27" t="s">
        <v>32</v>
      </c>
      <c r="Q122" s="27" t="s">
        <v>25</v>
      </c>
      <c r="R122" s="21" t="s">
        <v>39</v>
      </c>
      <c r="S122" s="29">
        <v>100</v>
      </c>
      <c r="T122" s="1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s="30" customFormat="1" x14ac:dyDescent="0.3">
      <c r="A123" s="16">
        <v>120</v>
      </c>
      <c r="B123" s="17" t="s">
        <v>634</v>
      </c>
      <c r="C123" s="18" t="s">
        <v>635</v>
      </c>
      <c r="D123" s="19">
        <v>46017</v>
      </c>
      <c r="E123" s="28"/>
      <c r="F123" s="28"/>
      <c r="G123" s="20"/>
      <c r="H123" s="20"/>
      <c r="I123" s="21">
        <v>77.884399999999999</v>
      </c>
      <c r="J123" s="22">
        <f>ROUND(I123*H123,2)</f>
        <v>0</v>
      </c>
      <c r="K123" s="23" t="e">
        <f>ROUND(G123/J123,4)</f>
        <v>#DIV/0!</v>
      </c>
      <c r="L123" s="24" t="e">
        <f>1-K123</f>
        <v>#DIV/0!</v>
      </c>
      <c r="M123" s="25" t="s">
        <v>636</v>
      </c>
      <c r="N123" s="25" t="s">
        <v>637</v>
      </c>
      <c r="O123" s="26" t="s">
        <v>638</v>
      </c>
      <c r="P123" s="27" t="s">
        <v>639</v>
      </c>
      <c r="Q123" s="27" t="s">
        <v>25</v>
      </c>
      <c r="R123" s="21" t="s">
        <v>26</v>
      </c>
      <c r="S123" s="29">
        <v>101</v>
      </c>
      <c r="T123" s="1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s="30" customFormat="1" x14ac:dyDescent="0.3">
      <c r="A124" s="31">
        <v>121</v>
      </c>
      <c r="B124" s="26" t="s">
        <v>640</v>
      </c>
      <c r="C124" s="27" t="s">
        <v>641</v>
      </c>
      <c r="D124" s="19">
        <v>46017</v>
      </c>
      <c r="E124" s="28"/>
      <c r="F124" s="28"/>
      <c r="G124" s="20"/>
      <c r="H124" s="20"/>
      <c r="I124" s="21">
        <v>77.884399999999999</v>
      </c>
      <c r="J124" s="22">
        <f>ROUND(I124*H124,2)</f>
        <v>0</v>
      </c>
      <c r="K124" s="23" t="e">
        <f>ROUND(G124/J124,4)</f>
        <v>#DIV/0!</v>
      </c>
      <c r="L124" s="24" t="e">
        <f>1-K124</f>
        <v>#DIV/0!</v>
      </c>
      <c r="M124" s="25"/>
      <c r="N124" s="25"/>
      <c r="O124" s="26" t="s">
        <v>642</v>
      </c>
      <c r="P124" s="27" t="s">
        <v>643</v>
      </c>
      <c r="Q124" s="27" t="s">
        <v>450</v>
      </c>
      <c r="R124" s="21" t="s">
        <v>26</v>
      </c>
      <c r="S124" s="29"/>
      <c r="T124" s="1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s="30" customFormat="1" x14ac:dyDescent="0.3">
      <c r="A125" s="16">
        <v>122</v>
      </c>
      <c r="B125" s="17" t="s">
        <v>644</v>
      </c>
      <c r="C125" s="18" t="s">
        <v>645</v>
      </c>
      <c r="D125" s="19">
        <v>46017</v>
      </c>
      <c r="E125" s="28"/>
      <c r="F125" s="28"/>
      <c r="G125" s="20"/>
      <c r="H125" s="20"/>
      <c r="I125" s="21">
        <v>77.884399999999999</v>
      </c>
      <c r="J125" s="22">
        <f>ROUND(I125*H125,2)</f>
        <v>0</v>
      </c>
      <c r="K125" s="23" t="e">
        <f>ROUND(G125/J125,4)</f>
        <v>#DIV/0!</v>
      </c>
      <c r="L125" s="24" t="e">
        <f>1-K125</f>
        <v>#DIV/0!</v>
      </c>
      <c r="M125" s="25" t="s">
        <v>646</v>
      </c>
      <c r="N125" s="25" t="s">
        <v>647</v>
      </c>
      <c r="O125" s="26" t="s">
        <v>648</v>
      </c>
      <c r="P125" s="27" t="s">
        <v>351</v>
      </c>
      <c r="Q125" s="27" t="s">
        <v>25</v>
      </c>
      <c r="R125" s="21" t="s">
        <v>39</v>
      </c>
      <c r="S125" s="29">
        <v>102</v>
      </c>
      <c r="T125" s="1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s="30" customFormat="1" x14ac:dyDescent="0.3">
      <c r="A126" s="16">
        <v>123</v>
      </c>
      <c r="B126" s="17" t="s">
        <v>649</v>
      </c>
      <c r="C126" s="18" t="s">
        <v>650</v>
      </c>
      <c r="D126" s="19">
        <v>46017</v>
      </c>
      <c r="E126" s="28"/>
      <c r="F126" s="28"/>
      <c r="G126" s="20"/>
      <c r="H126" s="20"/>
      <c r="I126" s="21">
        <v>77.884399999999999</v>
      </c>
      <c r="J126" s="22">
        <f>ROUND(I126*H126,2)</f>
        <v>0</v>
      </c>
      <c r="K126" s="23" t="e">
        <f>ROUND(G126/J126,4)</f>
        <v>#DIV/0!</v>
      </c>
      <c r="L126" s="24" t="e">
        <f>1-K126</f>
        <v>#DIV/0!</v>
      </c>
      <c r="M126" s="25" t="s">
        <v>651</v>
      </c>
      <c r="N126" s="25" t="s">
        <v>652</v>
      </c>
      <c r="O126" s="26" t="s">
        <v>653</v>
      </c>
      <c r="P126" s="27" t="s">
        <v>189</v>
      </c>
      <c r="Q126" s="27" t="s">
        <v>25</v>
      </c>
      <c r="R126" s="21" t="s">
        <v>39</v>
      </c>
      <c r="S126" s="29">
        <v>103</v>
      </c>
      <c r="T126" s="1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s="30" customFormat="1" x14ac:dyDescent="0.3">
      <c r="A127" s="16">
        <v>124</v>
      </c>
      <c r="B127" s="17" t="s">
        <v>654</v>
      </c>
      <c r="C127" s="18" t="s">
        <v>655</v>
      </c>
      <c r="D127" s="19">
        <v>46017</v>
      </c>
      <c r="E127" s="28"/>
      <c r="F127" s="28"/>
      <c r="G127" s="20"/>
      <c r="H127" s="20"/>
      <c r="I127" s="21">
        <v>77.884399999999999</v>
      </c>
      <c r="J127" s="22">
        <f>ROUND(I127*H127,2)</f>
        <v>0</v>
      </c>
      <c r="K127" s="23" t="e">
        <f>ROUND(G127/J127,4)</f>
        <v>#DIV/0!</v>
      </c>
      <c r="L127" s="24" t="e">
        <f>1-K127</f>
        <v>#DIV/0!</v>
      </c>
      <c r="M127" s="25" t="s">
        <v>656</v>
      </c>
      <c r="N127" s="25" t="s">
        <v>657</v>
      </c>
      <c r="O127" s="26" t="s">
        <v>658</v>
      </c>
      <c r="P127" s="27" t="s">
        <v>24</v>
      </c>
      <c r="Q127" s="27" t="s">
        <v>25</v>
      </c>
      <c r="R127" s="21" t="s">
        <v>26</v>
      </c>
      <c r="S127" s="29">
        <v>104</v>
      </c>
      <c r="T127" s="1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s="30" customFormat="1" x14ac:dyDescent="0.3">
      <c r="A128" s="16">
        <v>125</v>
      </c>
      <c r="B128" s="17" t="s">
        <v>659</v>
      </c>
      <c r="C128" s="18" t="s">
        <v>660</v>
      </c>
      <c r="D128" s="19">
        <v>46017</v>
      </c>
      <c r="E128" s="28"/>
      <c r="F128" s="28"/>
      <c r="G128" s="20"/>
      <c r="H128" s="20"/>
      <c r="I128" s="21">
        <v>77.884399999999999</v>
      </c>
      <c r="J128" s="22">
        <f>ROUND(I128*H128,2)</f>
        <v>0</v>
      </c>
      <c r="K128" s="23" t="e">
        <f>ROUND(G128/J128,4)</f>
        <v>#DIV/0!</v>
      </c>
      <c r="L128" s="24" t="e">
        <f>1-K128</f>
        <v>#DIV/0!</v>
      </c>
      <c r="M128" s="25" t="s">
        <v>661</v>
      </c>
      <c r="N128" s="25" t="s">
        <v>662</v>
      </c>
      <c r="O128" s="26" t="s">
        <v>663</v>
      </c>
      <c r="P128" s="27" t="s">
        <v>622</v>
      </c>
      <c r="Q128" s="27" t="s">
        <v>25</v>
      </c>
      <c r="R128" s="21" t="s">
        <v>39</v>
      </c>
      <c r="S128" s="29">
        <v>105</v>
      </c>
      <c r="T128" s="1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s="30" customFormat="1" x14ac:dyDescent="0.3">
      <c r="A129" s="16">
        <v>126</v>
      </c>
      <c r="B129" s="17" t="s">
        <v>664</v>
      </c>
      <c r="C129" s="18" t="s">
        <v>665</v>
      </c>
      <c r="D129" s="19">
        <v>46017</v>
      </c>
      <c r="E129" s="28"/>
      <c r="F129" s="28"/>
      <c r="G129" s="20"/>
      <c r="H129" s="20"/>
      <c r="I129" s="21">
        <v>77.884399999999999</v>
      </c>
      <c r="J129" s="22">
        <f>ROUND(I129*H129,2)</f>
        <v>0</v>
      </c>
      <c r="K129" s="23" t="e">
        <f>ROUND(G129/J129,4)</f>
        <v>#DIV/0!</v>
      </c>
      <c r="L129" s="24" t="e">
        <f>1-K129</f>
        <v>#DIV/0!</v>
      </c>
      <c r="M129" s="25" t="s">
        <v>666</v>
      </c>
      <c r="N129" s="25" t="s">
        <v>667</v>
      </c>
      <c r="O129" s="26" t="s">
        <v>668</v>
      </c>
      <c r="P129" s="27" t="s">
        <v>32</v>
      </c>
      <c r="Q129" s="27" t="s">
        <v>25</v>
      </c>
      <c r="R129" s="21" t="s">
        <v>26</v>
      </c>
      <c r="S129" s="29">
        <v>106</v>
      </c>
      <c r="T129" s="1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s="30" customFormat="1" x14ac:dyDescent="0.3">
      <c r="A130" s="31">
        <v>127</v>
      </c>
      <c r="B130" s="26" t="s">
        <v>669</v>
      </c>
      <c r="C130" s="27" t="s">
        <v>670</v>
      </c>
      <c r="D130" s="19">
        <v>46017</v>
      </c>
      <c r="E130" s="28"/>
      <c r="F130" s="28"/>
      <c r="G130" s="20"/>
      <c r="H130" s="20"/>
      <c r="I130" s="21">
        <v>77.884399999999999</v>
      </c>
      <c r="J130" s="22">
        <f>ROUND(I130*H130,2)</f>
        <v>0</v>
      </c>
      <c r="K130" s="23" t="e">
        <f>ROUND(G130/J130,4)</f>
        <v>#DIV/0!</v>
      </c>
      <c r="L130" s="24" t="e">
        <f>1-K130</f>
        <v>#DIV/0!</v>
      </c>
      <c r="M130" s="25"/>
      <c r="N130" s="25"/>
      <c r="O130" s="26" t="s">
        <v>671</v>
      </c>
      <c r="P130" s="27" t="s">
        <v>672</v>
      </c>
      <c r="Q130" s="27" t="s">
        <v>100</v>
      </c>
      <c r="R130" s="21" t="s">
        <v>26</v>
      </c>
      <c r="S130" s="29"/>
      <c r="T130" s="1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s="30" customFormat="1" x14ac:dyDescent="0.3">
      <c r="A131" s="16">
        <v>128</v>
      </c>
      <c r="B131" s="17" t="s">
        <v>673</v>
      </c>
      <c r="C131" s="18" t="s">
        <v>674</v>
      </c>
      <c r="D131" s="19">
        <v>46017</v>
      </c>
      <c r="E131" s="28"/>
      <c r="F131" s="28"/>
      <c r="G131" s="20"/>
      <c r="H131" s="20"/>
      <c r="I131" s="21">
        <v>77.884399999999999</v>
      </c>
      <c r="J131" s="22">
        <f>ROUND(I131*H131,2)</f>
        <v>0</v>
      </c>
      <c r="K131" s="23" t="e">
        <f>ROUND(G131/J131,4)</f>
        <v>#DIV/0!</v>
      </c>
      <c r="L131" s="24" t="e">
        <f>1-K131</f>
        <v>#DIV/0!</v>
      </c>
      <c r="M131" s="25" t="s">
        <v>675</v>
      </c>
      <c r="N131" s="25" t="s">
        <v>676</v>
      </c>
      <c r="O131" s="26" t="s">
        <v>677</v>
      </c>
      <c r="P131" s="27" t="s">
        <v>68</v>
      </c>
      <c r="Q131" s="27" t="s">
        <v>25</v>
      </c>
      <c r="R131" s="21" t="s">
        <v>26</v>
      </c>
      <c r="S131" s="29">
        <v>107</v>
      </c>
      <c r="T131" s="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s="30" customFormat="1" x14ac:dyDescent="0.3">
      <c r="A132" s="31">
        <v>129</v>
      </c>
      <c r="B132" s="26" t="s">
        <v>678</v>
      </c>
      <c r="C132" s="27" t="s">
        <v>679</v>
      </c>
      <c r="D132" s="19">
        <v>46017</v>
      </c>
      <c r="E132" s="28"/>
      <c r="F132" s="28"/>
      <c r="G132" s="20"/>
      <c r="H132" s="20"/>
      <c r="I132" s="21">
        <v>77.884399999999999</v>
      </c>
      <c r="J132" s="22">
        <f>ROUND(I132*H132,2)</f>
        <v>0</v>
      </c>
      <c r="K132" s="23" t="e">
        <f>ROUND(G132/J132,4)</f>
        <v>#DIV/0!</v>
      </c>
      <c r="L132" s="24" t="e">
        <f>1-K132</f>
        <v>#DIV/0!</v>
      </c>
      <c r="M132" s="25"/>
      <c r="N132" s="25"/>
      <c r="O132" s="26" t="s">
        <v>680</v>
      </c>
      <c r="P132" s="27" t="s">
        <v>681</v>
      </c>
      <c r="Q132" s="27" t="s">
        <v>25</v>
      </c>
      <c r="R132" s="21" t="s">
        <v>39</v>
      </c>
      <c r="S132" s="29"/>
      <c r="T132" s="1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s="30" customFormat="1" x14ac:dyDescent="0.3">
      <c r="A133" s="16">
        <v>130</v>
      </c>
      <c r="B133" s="17" t="s">
        <v>682</v>
      </c>
      <c r="C133" s="18" t="s">
        <v>683</v>
      </c>
      <c r="D133" s="19">
        <v>46017</v>
      </c>
      <c r="E133" s="28"/>
      <c r="F133" s="28"/>
      <c r="G133" s="20"/>
      <c r="H133" s="20"/>
      <c r="I133" s="21">
        <v>77.884399999999999</v>
      </c>
      <c r="J133" s="22">
        <f>ROUND(I133*H133,2)</f>
        <v>0</v>
      </c>
      <c r="K133" s="23" t="e">
        <f>ROUND(G133/J133,4)</f>
        <v>#DIV/0!</v>
      </c>
      <c r="L133" s="24" t="e">
        <f>1-K133</f>
        <v>#DIV/0!</v>
      </c>
      <c r="M133" s="25" t="s">
        <v>684</v>
      </c>
      <c r="N133" s="25" t="s">
        <v>685</v>
      </c>
      <c r="O133" s="26" t="s">
        <v>686</v>
      </c>
      <c r="P133" s="27" t="s">
        <v>687</v>
      </c>
      <c r="Q133" s="27" t="s">
        <v>25</v>
      </c>
      <c r="R133" s="21" t="s">
        <v>26</v>
      </c>
      <c r="S133" s="29">
        <v>108</v>
      </c>
      <c r="T133" s="1"/>
    </row>
    <row r="134" spans="1:34" s="30" customFormat="1" x14ac:dyDescent="0.3">
      <c r="A134" s="16">
        <v>131</v>
      </c>
      <c r="B134" s="17" t="s">
        <v>688</v>
      </c>
      <c r="C134" s="18" t="s">
        <v>689</v>
      </c>
      <c r="D134" s="19">
        <v>46017</v>
      </c>
      <c r="E134" s="28"/>
      <c r="F134" s="28"/>
      <c r="G134" s="20"/>
      <c r="H134" s="20"/>
      <c r="I134" s="21">
        <v>77.884399999999999</v>
      </c>
      <c r="J134" s="22">
        <f>ROUND(I134*H134,2)</f>
        <v>0</v>
      </c>
      <c r="K134" s="23" t="e">
        <f>ROUND(G134/J134,4)</f>
        <v>#DIV/0!</v>
      </c>
      <c r="L134" s="24" t="e">
        <f>1-K134</f>
        <v>#DIV/0!</v>
      </c>
      <c r="M134" s="25" t="s">
        <v>690</v>
      </c>
      <c r="N134" s="25" t="s">
        <v>691</v>
      </c>
      <c r="O134" s="26" t="s">
        <v>692</v>
      </c>
      <c r="P134" s="27" t="s">
        <v>502</v>
      </c>
      <c r="Q134" s="27" t="s">
        <v>25</v>
      </c>
      <c r="R134" s="21" t="s">
        <v>39</v>
      </c>
      <c r="S134" s="29">
        <v>109</v>
      </c>
      <c r="T134" s="1"/>
    </row>
    <row r="135" spans="1:34" s="30" customFormat="1" x14ac:dyDescent="0.3">
      <c r="A135" s="16">
        <v>132</v>
      </c>
      <c r="B135" s="17" t="s">
        <v>693</v>
      </c>
      <c r="C135" s="18" t="s">
        <v>694</v>
      </c>
      <c r="D135" s="19">
        <v>46017</v>
      </c>
      <c r="E135" s="28"/>
      <c r="F135" s="28"/>
      <c r="G135" s="20"/>
      <c r="H135" s="20"/>
      <c r="I135" s="21">
        <v>77.884399999999999</v>
      </c>
      <c r="J135" s="22">
        <f>ROUND(I135*H135,2)</f>
        <v>0</v>
      </c>
      <c r="K135" s="23" t="e">
        <f>ROUND(G135/J135,4)</f>
        <v>#DIV/0!</v>
      </c>
      <c r="L135" s="24" t="e">
        <f>1-K135</f>
        <v>#DIV/0!</v>
      </c>
      <c r="M135" s="25" t="s">
        <v>695</v>
      </c>
      <c r="N135" s="25" t="s">
        <v>696</v>
      </c>
      <c r="O135" s="26" t="s">
        <v>697</v>
      </c>
      <c r="P135" s="27" t="s">
        <v>68</v>
      </c>
      <c r="Q135" s="27" t="s">
        <v>25</v>
      </c>
      <c r="R135" s="64" t="s">
        <v>26</v>
      </c>
      <c r="S135" s="29">
        <v>110</v>
      </c>
      <c r="T135" s="1"/>
    </row>
    <row r="136" spans="1:34" s="30" customFormat="1" x14ac:dyDescent="0.3">
      <c r="A136" s="16">
        <v>133</v>
      </c>
      <c r="B136" s="17" t="s">
        <v>698</v>
      </c>
      <c r="C136" s="18" t="s">
        <v>699</v>
      </c>
      <c r="D136" s="19">
        <v>46017</v>
      </c>
      <c r="E136" s="28"/>
      <c r="F136" s="28"/>
      <c r="G136" s="20"/>
      <c r="H136" s="20"/>
      <c r="I136" s="21">
        <v>77.884399999999999</v>
      </c>
      <c r="J136" s="22">
        <f>ROUND(I136*H136,2)</f>
        <v>0</v>
      </c>
      <c r="K136" s="23" t="e">
        <f>ROUND(G136/J136,4)</f>
        <v>#DIV/0!</v>
      </c>
      <c r="L136" s="24" t="e">
        <f>1-K136</f>
        <v>#DIV/0!</v>
      </c>
      <c r="M136" s="25" t="s">
        <v>700</v>
      </c>
      <c r="N136" s="25" t="s">
        <v>701</v>
      </c>
      <c r="O136" s="26" t="s">
        <v>702</v>
      </c>
      <c r="P136" s="27" t="s">
        <v>24</v>
      </c>
      <c r="Q136" s="27" t="s">
        <v>25</v>
      </c>
      <c r="R136" s="21" t="s">
        <v>26</v>
      </c>
      <c r="S136" s="29">
        <v>111</v>
      </c>
      <c r="T136" s="1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</row>
    <row r="137" spans="1:34" s="30" customFormat="1" x14ac:dyDescent="0.3">
      <c r="A137" s="16">
        <v>134</v>
      </c>
      <c r="B137" s="17" t="s">
        <v>703</v>
      </c>
      <c r="C137" s="18" t="s">
        <v>704</v>
      </c>
      <c r="D137" s="19">
        <v>46017</v>
      </c>
      <c r="E137" s="28"/>
      <c r="F137" s="28"/>
      <c r="G137" s="20"/>
      <c r="H137" s="20"/>
      <c r="I137" s="21">
        <v>77.884399999999999</v>
      </c>
      <c r="J137" s="22">
        <f>ROUND(I137*H137,2)</f>
        <v>0</v>
      </c>
      <c r="K137" s="23" t="e">
        <f>ROUND(G137/J137,4)</f>
        <v>#DIV/0!</v>
      </c>
      <c r="L137" s="24" t="e">
        <f>1-K137</f>
        <v>#DIV/0!</v>
      </c>
      <c r="M137" s="25" t="s">
        <v>705</v>
      </c>
      <c r="N137" s="25" t="s">
        <v>706</v>
      </c>
      <c r="O137" s="26" t="s">
        <v>707</v>
      </c>
      <c r="P137" s="27" t="s">
        <v>24</v>
      </c>
      <c r="Q137" s="27" t="s">
        <v>25</v>
      </c>
      <c r="R137" s="21" t="s">
        <v>26</v>
      </c>
      <c r="S137" s="29">
        <v>112</v>
      </c>
      <c r="T137" s="1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s="30" customFormat="1" x14ac:dyDescent="0.3">
      <c r="A138" s="31">
        <v>135</v>
      </c>
      <c r="B138" s="26" t="s">
        <v>708</v>
      </c>
      <c r="C138" s="27" t="s">
        <v>709</v>
      </c>
      <c r="D138" s="19">
        <v>46017</v>
      </c>
      <c r="E138" s="28"/>
      <c r="F138" s="28"/>
      <c r="G138" s="20"/>
      <c r="H138" s="20"/>
      <c r="I138" s="21">
        <v>77.884399999999999</v>
      </c>
      <c r="J138" s="22">
        <f>ROUND(I138*H138,2)</f>
        <v>0</v>
      </c>
      <c r="K138" s="23" t="e">
        <f>ROUND(G138/J138,4)</f>
        <v>#DIV/0!</v>
      </c>
      <c r="L138" s="24" t="e">
        <f>1-K138</f>
        <v>#DIV/0!</v>
      </c>
      <c r="M138" s="25" t="s">
        <v>3909</v>
      </c>
      <c r="N138" s="25" t="s">
        <v>3910</v>
      </c>
      <c r="O138" s="26" t="s">
        <v>710</v>
      </c>
      <c r="P138" s="27" t="s">
        <v>711</v>
      </c>
      <c r="Q138" s="27" t="s">
        <v>25</v>
      </c>
      <c r="R138" s="21" t="s">
        <v>39</v>
      </c>
      <c r="S138" s="29">
        <v>113</v>
      </c>
      <c r="T138" s="1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s="30" customFormat="1" x14ac:dyDescent="0.3">
      <c r="A139" s="16">
        <v>136</v>
      </c>
      <c r="B139" s="17" t="s">
        <v>712</v>
      </c>
      <c r="C139" s="18" t="s">
        <v>713</v>
      </c>
      <c r="D139" s="19">
        <v>46017</v>
      </c>
      <c r="E139" s="28"/>
      <c r="F139" s="28"/>
      <c r="G139" s="20"/>
      <c r="H139" s="20"/>
      <c r="I139" s="21">
        <v>77.884399999999999</v>
      </c>
      <c r="J139" s="22">
        <f>ROUND(I139*H139,2)</f>
        <v>0</v>
      </c>
      <c r="K139" s="23" t="e">
        <f>ROUND(G139/J139,4)</f>
        <v>#DIV/0!</v>
      </c>
      <c r="L139" s="24" t="e">
        <f>1-K139</f>
        <v>#DIV/0!</v>
      </c>
      <c r="M139" s="25" t="s">
        <v>714</v>
      </c>
      <c r="N139" s="25" t="s">
        <v>715</v>
      </c>
      <c r="O139" s="26" t="s">
        <v>716</v>
      </c>
      <c r="P139" s="27" t="s">
        <v>687</v>
      </c>
      <c r="Q139" s="27" t="s">
        <v>25</v>
      </c>
      <c r="R139" s="21" t="s">
        <v>39</v>
      </c>
      <c r="S139" s="29">
        <v>114</v>
      </c>
      <c r="T139" s="1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s="30" customFormat="1" x14ac:dyDescent="0.3">
      <c r="A140" s="16">
        <v>137</v>
      </c>
      <c r="B140" s="17" t="s">
        <v>717</v>
      </c>
      <c r="C140" s="18" t="s">
        <v>718</v>
      </c>
      <c r="D140" s="19">
        <v>46017</v>
      </c>
      <c r="E140" s="28"/>
      <c r="F140" s="28"/>
      <c r="G140" s="20"/>
      <c r="H140" s="20"/>
      <c r="I140" s="21">
        <v>77.884399999999999</v>
      </c>
      <c r="J140" s="22">
        <f>ROUND(I140*H140,2)</f>
        <v>0</v>
      </c>
      <c r="K140" s="23" t="e">
        <f>ROUND(G140/J140,4)</f>
        <v>#DIV/0!</v>
      </c>
      <c r="L140" s="24" t="e">
        <f>1-K140</f>
        <v>#DIV/0!</v>
      </c>
      <c r="M140" s="25" t="s">
        <v>719</v>
      </c>
      <c r="N140" s="25" t="s">
        <v>720</v>
      </c>
      <c r="O140" s="26" t="s">
        <v>721</v>
      </c>
      <c r="P140" s="27" t="s">
        <v>134</v>
      </c>
      <c r="Q140" s="27" t="s">
        <v>25</v>
      </c>
      <c r="R140" s="21" t="s">
        <v>26</v>
      </c>
      <c r="S140" s="29">
        <v>115</v>
      </c>
      <c r="T140" s="1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s="30" customFormat="1" x14ac:dyDescent="0.3">
      <c r="A141" s="16">
        <v>138</v>
      </c>
      <c r="B141" s="17" t="s">
        <v>722</v>
      </c>
      <c r="C141" s="18" t="s">
        <v>723</v>
      </c>
      <c r="D141" s="19">
        <v>46017</v>
      </c>
      <c r="E141" s="28"/>
      <c r="F141" s="28"/>
      <c r="G141" s="20"/>
      <c r="H141" s="20"/>
      <c r="I141" s="21">
        <v>77.884399999999999</v>
      </c>
      <c r="J141" s="22">
        <f>ROUND(I141*H141,2)</f>
        <v>0</v>
      </c>
      <c r="K141" s="23" t="e">
        <f>ROUND(G141/J141,4)</f>
        <v>#DIV/0!</v>
      </c>
      <c r="L141" s="24" t="e">
        <f>1-K141</f>
        <v>#DIV/0!</v>
      </c>
      <c r="M141" s="25" t="s">
        <v>724</v>
      </c>
      <c r="N141" s="25" t="s">
        <v>725</v>
      </c>
      <c r="O141" s="26" t="s">
        <v>726</v>
      </c>
      <c r="P141" s="27" t="s">
        <v>622</v>
      </c>
      <c r="Q141" s="27" t="s">
        <v>25</v>
      </c>
      <c r="R141" s="21" t="s">
        <v>39</v>
      </c>
      <c r="S141" s="29">
        <v>116</v>
      </c>
      <c r="T141" s="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s="30" customFormat="1" x14ac:dyDescent="0.3">
      <c r="A142" s="16">
        <v>139</v>
      </c>
      <c r="B142" s="17" t="s">
        <v>727</v>
      </c>
      <c r="C142" s="18" t="s">
        <v>728</v>
      </c>
      <c r="D142" s="19">
        <v>46017</v>
      </c>
      <c r="E142" s="28"/>
      <c r="F142" s="28"/>
      <c r="G142" s="20"/>
      <c r="H142" s="20"/>
      <c r="I142" s="21">
        <v>77.884399999999999</v>
      </c>
      <c r="J142" s="22">
        <f>ROUND(I142*H142,2)</f>
        <v>0</v>
      </c>
      <c r="K142" s="23" t="e">
        <f>ROUND(G142/J142,4)</f>
        <v>#DIV/0!</v>
      </c>
      <c r="L142" s="24" t="e">
        <f>1-K142</f>
        <v>#DIV/0!</v>
      </c>
      <c r="M142" s="25" t="s">
        <v>729</v>
      </c>
      <c r="N142" s="25" t="s">
        <v>730</v>
      </c>
      <c r="O142" s="26" t="s">
        <v>731</v>
      </c>
      <c r="P142" s="27" t="s">
        <v>123</v>
      </c>
      <c r="Q142" s="27" t="s">
        <v>25</v>
      </c>
      <c r="R142" s="21" t="s">
        <v>39</v>
      </c>
      <c r="S142" s="29">
        <v>117</v>
      </c>
      <c r="T142" s="1"/>
    </row>
    <row r="143" spans="1:34" s="30" customFormat="1" x14ac:dyDescent="0.3">
      <c r="A143" s="16">
        <v>140</v>
      </c>
      <c r="B143" s="17" t="s">
        <v>732</v>
      </c>
      <c r="C143" s="18" t="s">
        <v>733</v>
      </c>
      <c r="D143" s="19">
        <v>46017</v>
      </c>
      <c r="E143" s="28"/>
      <c r="F143" s="28"/>
      <c r="G143" s="20"/>
      <c r="H143" s="20"/>
      <c r="I143" s="21">
        <v>77.884399999999999</v>
      </c>
      <c r="J143" s="22">
        <f>ROUND(I143*H143,2)</f>
        <v>0</v>
      </c>
      <c r="K143" s="23" t="e">
        <f>ROUND(G143/J143,4)</f>
        <v>#DIV/0!</v>
      </c>
      <c r="L143" s="24" t="e">
        <f>1-K143</f>
        <v>#DIV/0!</v>
      </c>
      <c r="M143" s="25" t="s">
        <v>734</v>
      </c>
      <c r="N143" s="25" t="s">
        <v>735</v>
      </c>
      <c r="O143" s="26" t="s">
        <v>736</v>
      </c>
      <c r="P143" s="27" t="s">
        <v>174</v>
      </c>
      <c r="Q143" s="27" t="s">
        <v>25</v>
      </c>
      <c r="R143" s="64" t="s">
        <v>39</v>
      </c>
      <c r="S143" s="29">
        <v>118</v>
      </c>
      <c r="T143" s="1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s="30" customFormat="1" x14ac:dyDescent="0.3">
      <c r="A144" s="16">
        <v>141</v>
      </c>
      <c r="B144" s="17" t="s">
        <v>737</v>
      </c>
      <c r="C144" s="18" t="s">
        <v>738</v>
      </c>
      <c r="D144" s="19">
        <v>46017</v>
      </c>
      <c r="E144" s="28"/>
      <c r="F144" s="28"/>
      <c r="G144" s="20"/>
      <c r="H144" s="20"/>
      <c r="I144" s="21">
        <v>77.884399999999999</v>
      </c>
      <c r="J144" s="22">
        <f>ROUND(I144*H144,2)</f>
        <v>0</v>
      </c>
      <c r="K144" s="23" t="e">
        <f>ROUND(G144/J144,4)</f>
        <v>#DIV/0!</v>
      </c>
      <c r="L144" s="24" t="e">
        <f>1-K144</f>
        <v>#DIV/0!</v>
      </c>
      <c r="M144" s="25" t="s">
        <v>739</v>
      </c>
      <c r="N144" s="25" t="s">
        <v>730</v>
      </c>
      <c r="O144" s="26" t="s">
        <v>740</v>
      </c>
      <c r="P144" s="27" t="s">
        <v>502</v>
      </c>
      <c r="Q144" s="27" t="s">
        <v>25</v>
      </c>
      <c r="R144" s="21" t="s">
        <v>26</v>
      </c>
      <c r="S144" s="29">
        <v>119</v>
      </c>
      <c r="T144" s="1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s="30" customFormat="1" x14ac:dyDescent="0.3">
      <c r="A145" s="16">
        <v>142</v>
      </c>
      <c r="B145" s="17" t="s">
        <v>741</v>
      </c>
      <c r="C145" s="18" t="s">
        <v>742</v>
      </c>
      <c r="D145" s="19">
        <v>46017</v>
      </c>
      <c r="E145" s="28"/>
      <c r="F145" s="28"/>
      <c r="G145" s="20"/>
      <c r="H145" s="20"/>
      <c r="I145" s="21">
        <v>77.884399999999999</v>
      </c>
      <c r="J145" s="22">
        <f>ROUND(I145*H145,2)</f>
        <v>0</v>
      </c>
      <c r="K145" s="23" t="e">
        <f>ROUND(G145/J145,4)</f>
        <v>#DIV/0!</v>
      </c>
      <c r="L145" s="24" t="e">
        <f>1-K145</f>
        <v>#DIV/0!</v>
      </c>
      <c r="M145" s="25" t="s">
        <v>743</v>
      </c>
      <c r="N145" s="25" t="s">
        <v>744</v>
      </c>
      <c r="O145" s="26" t="s">
        <v>745</v>
      </c>
      <c r="P145" s="27" t="s">
        <v>746</v>
      </c>
      <c r="Q145" s="27" t="s">
        <v>25</v>
      </c>
      <c r="R145" s="64" t="s">
        <v>39</v>
      </c>
      <c r="S145" s="29">
        <v>120</v>
      </c>
      <c r="T145" s="1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s="30" customFormat="1" x14ac:dyDescent="0.3">
      <c r="A146" s="16">
        <v>143</v>
      </c>
      <c r="B146" s="17" t="s">
        <v>747</v>
      </c>
      <c r="C146" s="34" t="s">
        <v>748</v>
      </c>
      <c r="D146" s="19">
        <v>46017</v>
      </c>
      <c r="E146" s="28"/>
      <c r="F146" s="28"/>
      <c r="G146" s="20"/>
      <c r="H146" s="20"/>
      <c r="I146" s="21">
        <v>77.884399999999999</v>
      </c>
      <c r="J146" s="22">
        <f>ROUND(I146*H146,2)</f>
        <v>0</v>
      </c>
      <c r="K146" s="23" t="e">
        <f>ROUND(G146/J146,4)</f>
        <v>#DIV/0!</v>
      </c>
      <c r="L146" s="24" t="e">
        <f>1-K146</f>
        <v>#DIV/0!</v>
      </c>
      <c r="M146" s="25" t="s">
        <v>749</v>
      </c>
      <c r="N146" s="25" t="s">
        <v>750</v>
      </c>
      <c r="O146" s="26" t="s">
        <v>751</v>
      </c>
      <c r="P146" s="27" t="s">
        <v>428</v>
      </c>
      <c r="Q146" s="27" t="s">
        <v>25</v>
      </c>
      <c r="R146" s="21" t="s">
        <v>26</v>
      </c>
      <c r="S146" s="29">
        <v>121</v>
      </c>
      <c r="T146" s="1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s="30" customFormat="1" x14ac:dyDescent="0.3">
      <c r="A147" s="16">
        <v>144</v>
      </c>
      <c r="B147" s="17" t="s">
        <v>752</v>
      </c>
      <c r="C147" s="18" t="s">
        <v>753</v>
      </c>
      <c r="D147" s="19">
        <v>46017</v>
      </c>
      <c r="E147" s="28"/>
      <c r="F147" s="28"/>
      <c r="G147" s="20"/>
      <c r="H147" s="20"/>
      <c r="I147" s="21">
        <v>77.884399999999999</v>
      </c>
      <c r="J147" s="22">
        <f>ROUND(I147*H147,2)</f>
        <v>0</v>
      </c>
      <c r="K147" s="23" t="e">
        <f>ROUND(G147/J147,4)</f>
        <v>#DIV/0!</v>
      </c>
      <c r="L147" s="24" t="e">
        <f>1-K147</f>
        <v>#DIV/0!</v>
      </c>
      <c r="M147" s="25" t="s">
        <v>754</v>
      </c>
      <c r="N147" s="25" t="s">
        <v>755</v>
      </c>
      <c r="O147" s="26" t="s">
        <v>756</v>
      </c>
      <c r="P147" s="27" t="s">
        <v>308</v>
      </c>
      <c r="Q147" s="27" t="s">
        <v>25</v>
      </c>
      <c r="R147" s="21" t="s">
        <v>26</v>
      </c>
      <c r="S147" s="29">
        <v>122</v>
      </c>
      <c r="T147" s="1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s="30" customFormat="1" x14ac:dyDescent="0.3">
      <c r="A148" s="16">
        <v>145</v>
      </c>
      <c r="B148" s="17" t="s">
        <v>757</v>
      </c>
      <c r="C148" s="18" t="s">
        <v>758</v>
      </c>
      <c r="D148" s="19">
        <v>46017</v>
      </c>
      <c r="E148" s="28"/>
      <c r="F148" s="28"/>
      <c r="G148" s="20"/>
      <c r="H148" s="20"/>
      <c r="I148" s="21">
        <v>77.884399999999999</v>
      </c>
      <c r="J148" s="22">
        <f>ROUND(I148*H148,2)</f>
        <v>0</v>
      </c>
      <c r="K148" s="23" t="e">
        <f>ROUND(G148/J148,4)</f>
        <v>#DIV/0!</v>
      </c>
      <c r="L148" s="24" t="e">
        <f>1-K148</f>
        <v>#DIV/0!</v>
      </c>
      <c r="M148" s="25" t="s">
        <v>759</v>
      </c>
      <c r="N148" s="25" t="s">
        <v>760</v>
      </c>
      <c r="O148" s="26" t="s">
        <v>761</v>
      </c>
      <c r="P148" s="27" t="s">
        <v>308</v>
      </c>
      <c r="Q148" s="27" t="s">
        <v>25</v>
      </c>
      <c r="R148" s="21" t="s">
        <v>39</v>
      </c>
      <c r="S148" s="29">
        <v>123</v>
      </c>
      <c r="T148" s="1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s="30" customFormat="1" x14ac:dyDescent="0.3">
      <c r="A149" s="16">
        <v>146</v>
      </c>
      <c r="B149" s="17" t="s">
        <v>762</v>
      </c>
      <c r="C149" s="18" t="s">
        <v>763</v>
      </c>
      <c r="D149" s="19">
        <v>46017</v>
      </c>
      <c r="E149" s="28"/>
      <c r="F149" s="28"/>
      <c r="G149" s="20"/>
      <c r="H149" s="20"/>
      <c r="I149" s="21">
        <v>77.884399999999999</v>
      </c>
      <c r="J149" s="22">
        <f>ROUND(I149*H149,2)</f>
        <v>0</v>
      </c>
      <c r="K149" s="23" t="e">
        <f>ROUND(G149/J149,4)</f>
        <v>#DIV/0!</v>
      </c>
      <c r="L149" s="24" t="e">
        <f>1-K149</f>
        <v>#DIV/0!</v>
      </c>
      <c r="M149" s="25" t="s">
        <v>764</v>
      </c>
      <c r="N149" s="25" t="s">
        <v>765</v>
      </c>
      <c r="O149" s="26" t="s">
        <v>766</v>
      </c>
      <c r="P149" s="27" t="s">
        <v>45</v>
      </c>
      <c r="Q149" s="27" t="s">
        <v>25</v>
      </c>
      <c r="R149" s="21" t="s">
        <v>39</v>
      </c>
      <c r="S149" s="29">
        <v>124</v>
      </c>
      <c r="T149" s="1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s="30" customFormat="1" x14ac:dyDescent="0.3">
      <c r="A150" s="31">
        <v>147</v>
      </c>
      <c r="B150" s="26" t="s">
        <v>767</v>
      </c>
      <c r="C150" s="27" t="s">
        <v>768</v>
      </c>
      <c r="D150" s="19">
        <v>46017</v>
      </c>
      <c r="E150" s="28"/>
      <c r="F150" s="28"/>
      <c r="G150" s="20"/>
      <c r="H150" s="20"/>
      <c r="I150" s="21">
        <v>77.884399999999999</v>
      </c>
      <c r="J150" s="22">
        <f>ROUND(I150*H150,2)</f>
        <v>0</v>
      </c>
      <c r="K150" s="23" t="e">
        <f>ROUND(G150/J150,4)</f>
        <v>#DIV/0!</v>
      </c>
      <c r="L150" s="24" t="e">
        <f>1-K150</f>
        <v>#DIV/0!</v>
      </c>
      <c r="M150" s="25"/>
      <c r="N150" s="25"/>
      <c r="O150" s="26" t="s">
        <v>769</v>
      </c>
      <c r="P150" s="27" t="s">
        <v>770</v>
      </c>
      <c r="Q150" s="27" t="s">
        <v>771</v>
      </c>
      <c r="R150" s="21" t="s">
        <v>26</v>
      </c>
      <c r="S150" s="29"/>
      <c r="T150" s="1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s="30" customFormat="1" x14ac:dyDescent="0.3">
      <c r="A151" s="16">
        <v>148</v>
      </c>
      <c r="B151" s="17" t="s">
        <v>772</v>
      </c>
      <c r="C151" s="18" t="s">
        <v>773</v>
      </c>
      <c r="D151" s="19">
        <v>46017</v>
      </c>
      <c r="E151" s="28"/>
      <c r="F151" s="28"/>
      <c r="G151" s="20"/>
      <c r="H151" s="20"/>
      <c r="I151" s="21">
        <v>77.884399999999999</v>
      </c>
      <c r="J151" s="22">
        <f>ROUND(I151*H151,2)</f>
        <v>0</v>
      </c>
      <c r="K151" s="23" t="e">
        <f>ROUND(G151/J151,4)</f>
        <v>#DIV/0!</v>
      </c>
      <c r="L151" s="24" t="e">
        <f>1-K151</f>
        <v>#DIV/0!</v>
      </c>
      <c r="M151" s="25" t="s">
        <v>774</v>
      </c>
      <c r="N151" s="25" t="s">
        <v>775</v>
      </c>
      <c r="O151" s="26" t="s">
        <v>776</v>
      </c>
      <c r="P151" s="27" t="s">
        <v>777</v>
      </c>
      <c r="Q151" s="27" t="s">
        <v>25</v>
      </c>
      <c r="R151" s="21" t="s">
        <v>26</v>
      </c>
      <c r="S151" s="29">
        <v>125</v>
      </c>
      <c r="T151" s="1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</row>
    <row r="152" spans="1:34" s="30" customFormat="1" x14ac:dyDescent="0.3">
      <c r="A152" s="16">
        <v>149</v>
      </c>
      <c r="B152" s="17" t="s">
        <v>778</v>
      </c>
      <c r="C152" s="18" t="s">
        <v>779</v>
      </c>
      <c r="D152" s="19">
        <v>46017</v>
      </c>
      <c r="E152" s="28"/>
      <c r="F152" s="28"/>
      <c r="G152" s="20"/>
      <c r="H152" s="20"/>
      <c r="I152" s="21">
        <v>77.884399999999999</v>
      </c>
      <c r="J152" s="22">
        <f>ROUND(I152*H152,2)</f>
        <v>0</v>
      </c>
      <c r="K152" s="23" t="e">
        <f>ROUND(G152/J152,4)</f>
        <v>#DIV/0!</v>
      </c>
      <c r="L152" s="24" t="e">
        <f>1-K152</f>
        <v>#DIV/0!</v>
      </c>
      <c r="M152" s="25" t="s">
        <v>780</v>
      </c>
      <c r="N152" s="25" t="s">
        <v>781</v>
      </c>
      <c r="O152" s="26" t="s">
        <v>782</v>
      </c>
      <c r="P152" s="27" t="s">
        <v>24</v>
      </c>
      <c r="Q152" s="27" t="s">
        <v>25</v>
      </c>
      <c r="R152" s="21" t="s">
        <v>26</v>
      </c>
      <c r="S152" s="29">
        <v>126</v>
      </c>
      <c r="T152" s="1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s="30" customFormat="1" x14ac:dyDescent="0.3">
      <c r="A153" s="16">
        <v>150</v>
      </c>
      <c r="B153" s="17" t="s">
        <v>783</v>
      </c>
      <c r="C153" s="18" t="s">
        <v>784</v>
      </c>
      <c r="D153" s="19">
        <v>46017</v>
      </c>
      <c r="E153" s="28"/>
      <c r="F153" s="28"/>
      <c r="G153" s="20"/>
      <c r="H153" s="20"/>
      <c r="I153" s="21">
        <v>77.884399999999999</v>
      </c>
      <c r="J153" s="22">
        <f>ROUND(I153*H153,2)</f>
        <v>0</v>
      </c>
      <c r="K153" s="23" t="e">
        <f>ROUND(G153/J153,4)</f>
        <v>#DIV/0!</v>
      </c>
      <c r="L153" s="24" t="e">
        <f>1-K153</f>
        <v>#DIV/0!</v>
      </c>
      <c r="M153" s="25" t="s">
        <v>785</v>
      </c>
      <c r="N153" s="25" t="s">
        <v>786</v>
      </c>
      <c r="O153" s="26" t="s">
        <v>787</v>
      </c>
      <c r="P153" s="27" t="s">
        <v>134</v>
      </c>
      <c r="Q153" s="27" t="s">
        <v>25</v>
      </c>
      <c r="R153" s="21" t="s">
        <v>26</v>
      </c>
      <c r="S153" s="29">
        <v>127</v>
      </c>
      <c r="T153" s="1"/>
    </row>
    <row r="154" spans="1:34" s="30" customFormat="1" x14ac:dyDescent="0.3">
      <c r="A154" s="31">
        <v>151</v>
      </c>
      <c r="B154" s="32" t="s">
        <v>788</v>
      </c>
      <c r="C154" s="33" t="s">
        <v>789</v>
      </c>
      <c r="D154" s="19">
        <v>46017</v>
      </c>
      <c r="E154" s="28"/>
      <c r="F154" s="28"/>
      <c r="G154" s="20"/>
      <c r="H154" s="20"/>
      <c r="I154" s="21">
        <v>77.884399999999999</v>
      </c>
      <c r="J154" s="22">
        <f>ROUND(I154*H154,2)</f>
        <v>0</v>
      </c>
      <c r="K154" s="23" t="e">
        <f>ROUND(G154/J154,4)</f>
        <v>#DIV/0!</v>
      </c>
      <c r="L154" s="24" t="e">
        <f>1-K154</f>
        <v>#DIV/0!</v>
      </c>
      <c r="M154" s="25" t="s">
        <v>790</v>
      </c>
      <c r="N154" s="25" t="s">
        <v>791</v>
      </c>
      <c r="O154" s="26" t="s">
        <v>792</v>
      </c>
      <c r="P154" s="27" t="s">
        <v>793</v>
      </c>
      <c r="Q154" s="27" t="s">
        <v>25</v>
      </c>
      <c r="R154" s="64" t="s">
        <v>39</v>
      </c>
      <c r="S154" s="29">
        <v>128</v>
      </c>
      <c r="T154" s="1"/>
    </row>
    <row r="155" spans="1:34" s="30" customFormat="1" x14ac:dyDescent="0.3">
      <c r="A155" s="16">
        <v>152</v>
      </c>
      <c r="B155" s="17" t="s">
        <v>794</v>
      </c>
      <c r="C155" s="18" t="s">
        <v>795</v>
      </c>
      <c r="D155" s="19">
        <v>46017</v>
      </c>
      <c r="E155" s="28"/>
      <c r="F155" s="28"/>
      <c r="G155" s="20"/>
      <c r="H155" s="20"/>
      <c r="I155" s="21">
        <v>77.884399999999999</v>
      </c>
      <c r="J155" s="22">
        <f>ROUND(I155*H155,2)</f>
        <v>0</v>
      </c>
      <c r="K155" s="23" t="e">
        <f>ROUND(G155/J155,4)</f>
        <v>#DIV/0!</v>
      </c>
      <c r="L155" s="24" t="e">
        <f>1-K155</f>
        <v>#DIV/0!</v>
      </c>
      <c r="M155" s="25" t="s">
        <v>796</v>
      </c>
      <c r="N155" s="25" t="s">
        <v>797</v>
      </c>
      <c r="O155" s="26" t="s">
        <v>798</v>
      </c>
      <c r="P155" s="27" t="s">
        <v>687</v>
      </c>
      <c r="Q155" s="27" t="s">
        <v>25</v>
      </c>
      <c r="R155" s="21" t="s">
        <v>26</v>
      </c>
      <c r="S155" s="29">
        <v>129</v>
      </c>
      <c r="T155" s="1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s="30" customFormat="1" x14ac:dyDescent="0.3">
      <c r="A156" s="16">
        <v>153</v>
      </c>
      <c r="B156" s="17" t="s">
        <v>799</v>
      </c>
      <c r="C156" s="34" t="s">
        <v>800</v>
      </c>
      <c r="D156" s="19">
        <v>46017</v>
      </c>
      <c r="E156" s="28"/>
      <c r="F156" s="28"/>
      <c r="G156" s="20"/>
      <c r="H156" s="20"/>
      <c r="I156" s="21">
        <v>77.884399999999999</v>
      </c>
      <c r="J156" s="22">
        <f>ROUND(I156*H156,2)</f>
        <v>0</v>
      </c>
      <c r="K156" s="23" t="e">
        <f>ROUND(G156/J156,4)</f>
        <v>#DIV/0!</v>
      </c>
      <c r="L156" s="24" t="e">
        <f>1-K156</f>
        <v>#DIV/0!</v>
      </c>
      <c r="M156" s="25" t="s">
        <v>801</v>
      </c>
      <c r="N156" s="25" t="s">
        <v>802</v>
      </c>
      <c r="O156" s="26" t="s">
        <v>803</v>
      </c>
      <c r="P156" s="27" t="s">
        <v>345</v>
      </c>
      <c r="Q156" s="27" t="s">
        <v>25</v>
      </c>
      <c r="R156" s="21" t="s">
        <v>39</v>
      </c>
      <c r="S156" s="29">
        <v>130</v>
      </c>
      <c r="T156" s="1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s="30" customFormat="1" x14ac:dyDescent="0.3">
      <c r="A157" s="16">
        <v>154</v>
      </c>
      <c r="B157" s="17" t="s">
        <v>804</v>
      </c>
      <c r="C157" s="34" t="s">
        <v>805</v>
      </c>
      <c r="D157" s="19">
        <v>46017</v>
      </c>
      <c r="E157" s="28"/>
      <c r="F157" s="28"/>
      <c r="G157" s="20"/>
      <c r="H157" s="20"/>
      <c r="I157" s="21">
        <v>77.884399999999999</v>
      </c>
      <c r="J157" s="22">
        <f>ROUND(I157*H157,2)</f>
        <v>0</v>
      </c>
      <c r="K157" s="23" t="e">
        <f>ROUND(G157/J157,4)</f>
        <v>#DIV/0!</v>
      </c>
      <c r="L157" s="24" t="e">
        <f>1-K157</f>
        <v>#DIV/0!</v>
      </c>
      <c r="M157" s="25" t="s">
        <v>806</v>
      </c>
      <c r="N157" s="25" t="s">
        <v>807</v>
      </c>
      <c r="O157" s="26" t="s">
        <v>808</v>
      </c>
      <c r="P157" s="27" t="s">
        <v>809</v>
      </c>
      <c r="Q157" s="27" t="s">
        <v>25</v>
      </c>
      <c r="R157" s="21" t="s">
        <v>39</v>
      </c>
      <c r="S157" s="29">
        <v>131</v>
      </c>
      <c r="T157" s="1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s="30" customFormat="1" x14ac:dyDescent="0.3">
      <c r="A158" s="16">
        <v>155</v>
      </c>
      <c r="B158" s="17" t="s">
        <v>810</v>
      </c>
      <c r="C158" s="18" t="s">
        <v>811</v>
      </c>
      <c r="D158" s="19">
        <v>46017</v>
      </c>
      <c r="E158" s="28"/>
      <c r="F158" s="28"/>
      <c r="G158" s="20"/>
      <c r="H158" s="20"/>
      <c r="I158" s="21">
        <v>77.884399999999999</v>
      </c>
      <c r="J158" s="22">
        <f>ROUND(I158*H158,2)</f>
        <v>0</v>
      </c>
      <c r="K158" s="23" t="e">
        <f>ROUND(G158/J158,4)</f>
        <v>#DIV/0!</v>
      </c>
      <c r="L158" s="24" t="e">
        <f>1-K158</f>
        <v>#DIV/0!</v>
      </c>
      <c r="M158" s="25" t="s">
        <v>812</v>
      </c>
      <c r="N158" s="25" t="s">
        <v>813</v>
      </c>
      <c r="O158" s="26" t="s">
        <v>814</v>
      </c>
      <c r="P158" s="27" t="s">
        <v>123</v>
      </c>
      <c r="Q158" s="27" t="s">
        <v>25</v>
      </c>
      <c r="R158" s="21" t="s">
        <v>39</v>
      </c>
      <c r="S158" s="29">
        <v>132</v>
      </c>
      <c r="T158" s="1"/>
    </row>
    <row r="159" spans="1:34" s="30" customFormat="1" x14ac:dyDescent="0.3">
      <c r="A159" s="31">
        <v>156</v>
      </c>
      <c r="B159" s="32" t="s">
        <v>815</v>
      </c>
      <c r="C159" s="33" t="s">
        <v>816</v>
      </c>
      <c r="D159" s="19">
        <v>46017</v>
      </c>
      <c r="E159" s="28"/>
      <c r="F159" s="28"/>
      <c r="G159" s="20"/>
      <c r="H159" s="20"/>
      <c r="I159" s="21">
        <v>77.884399999999999</v>
      </c>
      <c r="J159" s="22">
        <f>ROUND(I159*H159,2)</f>
        <v>0</v>
      </c>
      <c r="K159" s="23" t="e">
        <f>ROUND(G159/J159,4)</f>
        <v>#DIV/0!</v>
      </c>
      <c r="L159" s="24" t="e">
        <f>1-K159</f>
        <v>#DIV/0!</v>
      </c>
      <c r="M159" s="25" t="s">
        <v>817</v>
      </c>
      <c r="N159" s="25" t="s">
        <v>818</v>
      </c>
      <c r="O159" s="26" t="s">
        <v>819</v>
      </c>
      <c r="P159" s="27" t="s">
        <v>820</v>
      </c>
      <c r="Q159" s="27" t="s">
        <v>25</v>
      </c>
      <c r="R159" s="64" t="s">
        <v>26</v>
      </c>
      <c r="S159" s="29">
        <v>133</v>
      </c>
      <c r="T159" s="1"/>
    </row>
    <row r="160" spans="1:34" s="30" customFormat="1" x14ac:dyDescent="0.3">
      <c r="A160" s="16">
        <v>157</v>
      </c>
      <c r="B160" s="17" t="s">
        <v>821</v>
      </c>
      <c r="C160" s="18" t="s">
        <v>822</v>
      </c>
      <c r="D160" s="19">
        <v>46017</v>
      </c>
      <c r="E160" s="28"/>
      <c r="F160" s="28"/>
      <c r="G160" s="20"/>
      <c r="H160" s="20"/>
      <c r="I160" s="21">
        <v>77.884399999999999</v>
      </c>
      <c r="J160" s="22">
        <f>ROUND(I160*H160,2)</f>
        <v>0</v>
      </c>
      <c r="K160" s="23" t="e">
        <f>ROUND(G160/J160,4)</f>
        <v>#DIV/0!</v>
      </c>
      <c r="L160" s="24" t="e">
        <f>1-K160</f>
        <v>#DIV/0!</v>
      </c>
      <c r="M160" s="25" t="s">
        <v>823</v>
      </c>
      <c r="N160" s="25" t="s">
        <v>824</v>
      </c>
      <c r="O160" s="26" t="s">
        <v>825</v>
      </c>
      <c r="P160" s="27" t="s">
        <v>308</v>
      </c>
      <c r="Q160" s="27" t="s">
        <v>25</v>
      </c>
      <c r="R160" s="64" t="s">
        <v>39</v>
      </c>
      <c r="S160" s="29">
        <v>134</v>
      </c>
      <c r="T160" s="1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:34" s="30" customFormat="1" x14ac:dyDescent="0.3">
      <c r="A161" s="31">
        <v>158</v>
      </c>
      <c r="B161" s="32" t="s">
        <v>826</v>
      </c>
      <c r="C161" s="33" t="s">
        <v>827</v>
      </c>
      <c r="D161" s="19">
        <v>46017</v>
      </c>
      <c r="E161" s="28"/>
      <c r="F161" s="28"/>
      <c r="G161" s="20"/>
      <c r="H161" s="20"/>
      <c r="I161" s="21">
        <v>77.884399999999999</v>
      </c>
      <c r="J161" s="22">
        <f>ROUND(I161*H161,2)</f>
        <v>0</v>
      </c>
      <c r="K161" s="23" t="e">
        <f>ROUND(G161/J161,4)</f>
        <v>#DIV/0!</v>
      </c>
      <c r="L161" s="24" t="e">
        <f>1-K161</f>
        <v>#DIV/0!</v>
      </c>
      <c r="M161" s="25" t="s">
        <v>828</v>
      </c>
      <c r="N161" s="25" t="s">
        <v>829</v>
      </c>
      <c r="O161" s="26" t="s">
        <v>830</v>
      </c>
      <c r="P161" s="27" t="s">
        <v>146</v>
      </c>
      <c r="Q161" s="27" t="s">
        <v>25</v>
      </c>
      <c r="R161" s="64" t="s">
        <v>39</v>
      </c>
      <c r="S161" s="29">
        <v>135</v>
      </c>
      <c r="T161" s="1"/>
    </row>
    <row r="162" spans="1:34" s="30" customFormat="1" x14ac:dyDescent="0.3">
      <c r="A162" s="31">
        <v>159</v>
      </c>
      <c r="B162" s="32" t="s">
        <v>831</v>
      </c>
      <c r="C162" s="33" t="s">
        <v>832</v>
      </c>
      <c r="D162" s="19">
        <v>46017</v>
      </c>
      <c r="E162" s="28"/>
      <c r="F162" s="28"/>
      <c r="G162" s="20"/>
      <c r="H162" s="20"/>
      <c r="I162" s="21">
        <v>77.884399999999999</v>
      </c>
      <c r="J162" s="22">
        <f>ROUND(I162*H162,2)</f>
        <v>0</v>
      </c>
      <c r="K162" s="23" t="e">
        <f>ROUND(G162/J162,4)</f>
        <v>#DIV/0!</v>
      </c>
      <c r="L162" s="24" t="e">
        <f>1-K162</f>
        <v>#DIV/0!</v>
      </c>
      <c r="M162" s="25" t="s">
        <v>833</v>
      </c>
      <c r="N162" s="25" t="s">
        <v>834</v>
      </c>
      <c r="O162" s="26" t="s">
        <v>835</v>
      </c>
      <c r="P162" s="27" t="s">
        <v>440</v>
      </c>
      <c r="Q162" s="27" t="s">
        <v>25</v>
      </c>
      <c r="R162" s="64" t="s">
        <v>39</v>
      </c>
      <c r="S162" s="29">
        <v>136</v>
      </c>
      <c r="T162" s="1"/>
    </row>
    <row r="163" spans="1:34" s="30" customFormat="1" x14ac:dyDescent="0.3">
      <c r="A163" s="16">
        <v>160</v>
      </c>
      <c r="B163" s="17" t="s">
        <v>836</v>
      </c>
      <c r="C163" s="18" t="s">
        <v>837</v>
      </c>
      <c r="D163" s="19">
        <v>46017</v>
      </c>
      <c r="E163" s="28"/>
      <c r="F163" s="28"/>
      <c r="G163" s="20"/>
      <c r="H163" s="20"/>
      <c r="I163" s="21">
        <v>77.884399999999999</v>
      </c>
      <c r="J163" s="22">
        <f>ROUND(I163*H163,2)</f>
        <v>0</v>
      </c>
      <c r="K163" s="23" t="e">
        <f>ROUND(G163/J163,4)</f>
        <v>#DIV/0!</v>
      </c>
      <c r="L163" s="24" t="e">
        <f>1-K163</f>
        <v>#DIV/0!</v>
      </c>
      <c r="M163" s="25" t="s">
        <v>838</v>
      </c>
      <c r="N163" s="25" t="s">
        <v>839</v>
      </c>
      <c r="O163" s="26" t="s">
        <v>840</v>
      </c>
      <c r="P163" s="27" t="s">
        <v>189</v>
      </c>
      <c r="Q163" s="27" t="s">
        <v>25</v>
      </c>
      <c r="R163" s="21" t="s">
        <v>39</v>
      </c>
      <c r="S163" s="29">
        <v>137</v>
      </c>
      <c r="T163" s="1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:34" s="30" customFormat="1" x14ac:dyDescent="0.3">
      <c r="A164" s="16">
        <v>161</v>
      </c>
      <c r="B164" s="17" t="s">
        <v>841</v>
      </c>
      <c r="C164" s="18" t="s">
        <v>842</v>
      </c>
      <c r="D164" s="19">
        <v>46017</v>
      </c>
      <c r="E164" s="28"/>
      <c r="F164" s="28"/>
      <c r="G164" s="20"/>
      <c r="H164" s="20"/>
      <c r="I164" s="21">
        <v>77.884399999999999</v>
      </c>
      <c r="J164" s="22">
        <f>ROUND(I164*H164,2)</f>
        <v>0</v>
      </c>
      <c r="K164" s="23" t="e">
        <f>ROUND(G164/J164,4)</f>
        <v>#DIV/0!</v>
      </c>
      <c r="L164" s="24" t="e">
        <f>1-K164</f>
        <v>#DIV/0!</v>
      </c>
      <c r="M164" s="25" t="s">
        <v>843</v>
      </c>
      <c r="N164" s="25" t="s">
        <v>844</v>
      </c>
      <c r="O164" s="26" t="s">
        <v>845</v>
      </c>
      <c r="P164" s="27" t="s">
        <v>32</v>
      </c>
      <c r="Q164" s="27" t="s">
        <v>25</v>
      </c>
      <c r="R164" s="21" t="s">
        <v>26</v>
      </c>
      <c r="S164" s="29">
        <v>138</v>
      </c>
      <c r="T164" s="1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:34" s="30" customFormat="1" x14ac:dyDescent="0.3">
      <c r="A165" s="16">
        <v>162</v>
      </c>
      <c r="B165" s="17" t="s">
        <v>846</v>
      </c>
      <c r="C165" s="18" t="s">
        <v>847</v>
      </c>
      <c r="D165" s="19">
        <v>46017</v>
      </c>
      <c r="E165" s="28"/>
      <c r="F165" s="28"/>
      <c r="G165" s="20"/>
      <c r="H165" s="20"/>
      <c r="I165" s="21">
        <v>77.884399999999999</v>
      </c>
      <c r="J165" s="22">
        <f>ROUND(I165*H165,2)</f>
        <v>0</v>
      </c>
      <c r="K165" s="23" t="e">
        <f>ROUND(G165/J165,4)</f>
        <v>#DIV/0!</v>
      </c>
      <c r="L165" s="24" t="e">
        <f>1-K165</f>
        <v>#DIV/0!</v>
      </c>
      <c r="M165" s="25" t="s">
        <v>848</v>
      </c>
      <c r="N165" s="25" t="s">
        <v>849</v>
      </c>
      <c r="O165" s="26" t="s">
        <v>850</v>
      </c>
      <c r="P165" s="27" t="s">
        <v>174</v>
      </c>
      <c r="Q165" s="27" t="s">
        <v>25</v>
      </c>
      <c r="R165" s="64" t="s">
        <v>26</v>
      </c>
      <c r="S165" s="29">
        <v>139</v>
      </c>
      <c r="T165" s="1"/>
    </row>
    <row r="166" spans="1:34" s="30" customFormat="1" x14ac:dyDescent="0.3">
      <c r="A166" s="16">
        <v>163</v>
      </c>
      <c r="B166" s="17" t="s">
        <v>851</v>
      </c>
      <c r="C166" s="18" t="s">
        <v>852</v>
      </c>
      <c r="D166" s="19">
        <v>46017</v>
      </c>
      <c r="E166" s="28"/>
      <c r="F166" s="28"/>
      <c r="G166" s="20"/>
      <c r="H166" s="20"/>
      <c r="I166" s="21">
        <v>77.884399999999999</v>
      </c>
      <c r="J166" s="22">
        <f>ROUND(I166*H166,2)</f>
        <v>0</v>
      </c>
      <c r="K166" s="23" t="e">
        <f>ROUND(G166/J166,4)</f>
        <v>#DIV/0!</v>
      </c>
      <c r="L166" s="24" t="e">
        <f>1-K166</f>
        <v>#DIV/0!</v>
      </c>
      <c r="M166" s="25" t="s">
        <v>853</v>
      </c>
      <c r="N166" s="25" t="s">
        <v>854</v>
      </c>
      <c r="O166" s="26" t="s">
        <v>855</v>
      </c>
      <c r="P166" s="27" t="s">
        <v>856</v>
      </c>
      <c r="Q166" s="27" t="s">
        <v>25</v>
      </c>
      <c r="R166" s="64" t="s">
        <v>26</v>
      </c>
      <c r="S166" s="29">
        <v>140</v>
      </c>
      <c r="T166" s="1"/>
    </row>
    <row r="167" spans="1:34" s="30" customFormat="1" x14ac:dyDescent="0.3">
      <c r="A167" s="16">
        <v>164</v>
      </c>
      <c r="B167" s="17" t="s">
        <v>857</v>
      </c>
      <c r="C167" s="18" t="s">
        <v>858</v>
      </c>
      <c r="D167" s="19">
        <v>46017</v>
      </c>
      <c r="E167" s="28"/>
      <c r="F167" s="28"/>
      <c r="G167" s="20"/>
      <c r="H167" s="20"/>
      <c r="I167" s="21">
        <v>77.884399999999999</v>
      </c>
      <c r="J167" s="22">
        <f>ROUND(I167*H167,2)</f>
        <v>0</v>
      </c>
      <c r="K167" s="23" t="e">
        <f>ROUND(G167/J167,4)</f>
        <v>#DIV/0!</v>
      </c>
      <c r="L167" s="24" t="e">
        <f>1-K167</f>
        <v>#DIV/0!</v>
      </c>
      <c r="M167" s="25" t="s">
        <v>859</v>
      </c>
      <c r="N167" s="25" t="s">
        <v>860</v>
      </c>
      <c r="O167" s="26" t="s">
        <v>861</v>
      </c>
      <c r="P167" s="27" t="s">
        <v>809</v>
      </c>
      <c r="Q167" s="27" t="s">
        <v>25</v>
      </c>
      <c r="R167" s="21" t="s">
        <v>39</v>
      </c>
      <c r="S167" s="29">
        <v>141</v>
      </c>
      <c r="T167" s="1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:34" s="30" customFormat="1" x14ac:dyDescent="0.3">
      <c r="A168" s="16">
        <v>165</v>
      </c>
      <c r="B168" s="17" t="s">
        <v>862</v>
      </c>
      <c r="C168" s="18" t="s">
        <v>863</v>
      </c>
      <c r="D168" s="19">
        <v>46017</v>
      </c>
      <c r="E168" s="28"/>
      <c r="F168" s="28"/>
      <c r="G168" s="20"/>
      <c r="H168" s="20"/>
      <c r="I168" s="21">
        <v>77.884399999999999</v>
      </c>
      <c r="J168" s="22">
        <f>ROUND(I168*H168,2)</f>
        <v>0</v>
      </c>
      <c r="K168" s="23" t="e">
        <f>ROUND(G168/J168,4)</f>
        <v>#DIV/0!</v>
      </c>
      <c r="L168" s="24" t="e">
        <f>1-K168</f>
        <v>#DIV/0!</v>
      </c>
      <c r="M168" s="25" t="s">
        <v>864</v>
      </c>
      <c r="N168" s="25" t="s">
        <v>865</v>
      </c>
      <c r="O168" s="26" t="s">
        <v>866</v>
      </c>
      <c r="P168" s="27" t="s">
        <v>32</v>
      </c>
      <c r="Q168" s="27" t="s">
        <v>25</v>
      </c>
      <c r="R168" s="21" t="s">
        <v>26</v>
      </c>
      <c r="S168" s="29">
        <v>142</v>
      </c>
      <c r="T168" s="1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:34" s="45" customFormat="1" x14ac:dyDescent="0.3">
      <c r="A169" s="38">
        <v>166</v>
      </c>
      <c r="B169" s="32" t="s">
        <v>867</v>
      </c>
      <c r="C169" s="33" t="s">
        <v>868</v>
      </c>
      <c r="D169" s="19">
        <v>46017</v>
      </c>
      <c r="E169" s="43"/>
      <c r="F169" s="43"/>
      <c r="G169" s="20"/>
      <c r="H169" s="20"/>
      <c r="I169" s="21">
        <v>77.884399999999999</v>
      </c>
      <c r="J169" s="22">
        <f>ROUND(I169*H169,2)</f>
        <v>0</v>
      </c>
      <c r="K169" s="23" t="e">
        <f>ROUND(G169/J169,4)</f>
        <v>#DIV/0!</v>
      </c>
      <c r="L169" s="24" t="e">
        <f>1-K169</f>
        <v>#DIV/0!</v>
      </c>
      <c r="M169" s="40" t="s">
        <v>869</v>
      </c>
      <c r="N169" s="40" t="s">
        <v>870</v>
      </c>
      <c r="O169" s="41" t="s">
        <v>3876</v>
      </c>
      <c r="P169" s="42" t="s">
        <v>871</v>
      </c>
      <c r="Q169" s="42" t="s">
        <v>25</v>
      </c>
      <c r="R169" s="65" t="s">
        <v>26</v>
      </c>
      <c r="S169" s="29">
        <v>143</v>
      </c>
      <c r="T169" s="44"/>
    </row>
    <row r="170" spans="1:34" s="30" customFormat="1" x14ac:dyDescent="0.3">
      <c r="A170" s="16">
        <v>167</v>
      </c>
      <c r="B170" s="17" t="s">
        <v>872</v>
      </c>
      <c r="C170" s="18" t="s">
        <v>873</v>
      </c>
      <c r="D170" s="19">
        <v>46017</v>
      </c>
      <c r="E170" s="28"/>
      <c r="F170" s="28"/>
      <c r="G170" s="20"/>
      <c r="H170" s="20"/>
      <c r="I170" s="21">
        <v>77.884399999999999</v>
      </c>
      <c r="J170" s="22">
        <f>ROUND(I170*H170,2)</f>
        <v>0</v>
      </c>
      <c r="K170" s="23" t="e">
        <f>ROUND(G170/J170,4)</f>
        <v>#DIV/0!</v>
      </c>
      <c r="L170" s="24" t="e">
        <f>1-K170</f>
        <v>#DIV/0!</v>
      </c>
      <c r="M170" s="25" t="s">
        <v>874</v>
      </c>
      <c r="N170" s="25" t="s">
        <v>875</v>
      </c>
      <c r="O170" s="26" t="s">
        <v>876</v>
      </c>
      <c r="P170" s="27" t="s">
        <v>250</v>
      </c>
      <c r="Q170" s="27" t="s">
        <v>25</v>
      </c>
      <c r="R170" s="21" t="s">
        <v>39</v>
      </c>
      <c r="S170" s="29">
        <v>144</v>
      </c>
      <c r="T170" s="1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:34" s="30" customFormat="1" x14ac:dyDescent="0.3">
      <c r="A171" s="16">
        <v>168</v>
      </c>
      <c r="B171" s="17" t="s">
        <v>877</v>
      </c>
      <c r="C171" s="18" t="s">
        <v>878</v>
      </c>
      <c r="D171" s="19">
        <v>46017</v>
      </c>
      <c r="E171" s="28"/>
      <c r="F171" s="28"/>
      <c r="G171" s="20"/>
      <c r="H171" s="20"/>
      <c r="I171" s="21">
        <v>77.884399999999999</v>
      </c>
      <c r="J171" s="22">
        <f>ROUND(I171*H171,2)</f>
        <v>0</v>
      </c>
      <c r="K171" s="23" t="e">
        <f>ROUND(G171/J171,4)</f>
        <v>#DIV/0!</v>
      </c>
      <c r="L171" s="24" t="e">
        <f>1-K171</f>
        <v>#DIV/0!</v>
      </c>
      <c r="M171" s="25" t="s">
        <v>879</v>
      </c>
      <c r="N171" s="25" t="s">
        <v>880</v>
      </c>
      <c r="O171" s="26" t="s">
        <v>881</v>
      </c>
      <c r="P171" s="27" t="s">
        <v>174</v>
      </c>
      <c r="Q171" s="27" t="s">
        <v>25</v>
      </c>
      <c r="R171" s="21" t="s">
        <v>39</v>
      </c>
      <c r="S171" s="29">
        <v>145</v>
      </c>
      <c r="T171" s="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:34" s="30" customFormat="1" x14ac:dyDescent="0.3">
      <c r="A172" s="16">
        <v>169</v>
      </c>
      <c r="B172" s="17" t="s">
        <v>882</v>
      </c>
      <c r="C172" s="18" t="s">
        <v>883</v>
      </c>
      <c r="D172" s="19">
        <v>46017</v>
      </c>
      <c r="E172" s="28"/>
      <c r="F172" s="28"/>
      <c r="G172" s="20"/>
      <c r="H172" s="20"/>
      <c r="I172" s="21">
        <v>77.884399999999999</v>
      </c>
      <c r="J172" s="22">
        <f>ROUND(I172*H172,2)</f>
        <v>0</v>
      </c>
      <c r="K172" s="23" t="e">
        <f>ROUND(G172/J172,4)</f>
        <v>#DIV/0!</v>
      </c>
      <c r="L172" s="24" t="e">
        <f>1-K172</f>
        <v>#DIV/0!</v>
      </c>
      <c r="M172" s="25" t="s">
        <v>884</v>
      </c>
      <c r="N172" s="25" t="s">
        <v>885</v>
      </c>
      <c r="O172" s="26" t="s">
        <v>886</v>
      </c>
      <c r="P172" s="27" t="s">
        <v>319</v>
      </c>
      <c r="Q172" s="27" t="s">
        <v>25</v>
      </c>
      <c r="R172" s="21" t="s">
        <v>26</v>
      </c>
      <c r="S172" s="29">
        <v>146</v>
      </c>
      <c r="T172" s="1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:34" s="30" customFormat="1" x14ac:dyDescent="0.3">
      <c r="A173" s="31">
        <v>170</v>
      </c>
      <c r="B173" s="32" t="s">
        <v>887</v>
      </c>
      <c r="C173" s="33" t="s">
        <v>888</v>
      </c>
      <c r="D173" s="19">
        <v>46017</v>
      </c>
      <c r="E173" s="28"/>
      <c r="F173" s="28"/>
      <c r="G173" s="20"/>
      <c r="H173" s="20"/>
      <c r="I173" s="21">
        <v>77.884399999999999</v>
      </c>
      <c r="J173" s="22">
        <f>ROUND(I173*H173,2)</f>
        <v>0</v>
      </c>
      <c r="K173" s="23" t="e">
        <f>ROUND(G173/J173,4)</f>
        <v>#DIV/0!</v>
      </c>
      <c r="L173" s="24" t="e">
        <f>1-K173</f>
        <v>#DIV/0!</v>
      </c>
      <c r="M173" s="25" t="s">
        <v>889</v>
      </c>
      <c r="N173" s="25" t="s">
        <v>890</v>
      </c>
      <c r="O173" s="26" t="s">
        <v>891</v>
      </c>
      <c r="P173" s="27" t="s">
        <v>892</v>
      </c>
      <c r="Q173" s="27" t="s">
        <v>25</v>
      </c>
      <c r="R173" s="64" t="s">
        <v>39</v>
      </c>
      <c r="S173" s="29">
        <v>147</v>
      </c>
      <c r="T173" s="1"/>
    </row>
    <row r="174" spans="1:34" s="30" customFormat="1" x14ac:dyDescent="0.3">
      <c r="A174" s="16">
        <v>171</v>
      </c>
      <c r="B174" s="17" t="s">
        <v>893</v>
      </c>
      <c r="C174" s="34" t="s">
        <v>894</v>
      </c>
      <c r="D174" s="19">
        <v>46017</v>
      </c>
      <c r="E174" s="28"/>
      <c r="F174" s="28"/>
      <c r="G174" s="20"/>
      <c r="H174" s="20"/>
      <c r="I174" s="21">
        <v>77.884399999999999</v>
      </c>
      <c r="J174" s="22">
        <f>ROUND(I174*H174,2)</f>
        <v>0</v>
      </c>
      <c r="K174" s="23" t="e">
        <f>ROUND(G174/J174,4)</f>
        <v>#DIV/0!</v>
      </c>
      <c r="L174" s="24" t="e">
        <f>1-K174</f>
        <v>#DIV/0!</v>
      </c>
      <c r="M174" s="25" t="s">
        <v>895</v>
      </c>
      <c r="N174" s="25" t="s">
        <v>896</v>
      </c>
      <c r="O174" s="26" t="s">
        <v>897</v>
      </c>
      <c r="P174" s="27" t="s">
        <v>502</v>
      </c>
      <c r="Q174" s="27" t="s">
        <v>25</v>
      </c>
      <c r="R174" s="21" t="s">
        <v>39</v>
      </c>
      <c r="S174" s="29">
        <v>148</v>
      </c>
      <c r="T174" s="1"/>
    </row>
    <row r="175" spans="1:34" s="30" customFormat="1" x14ac:dyDescent="0.3">
      <c r="A175" s="16">
        <v>172</v>
      </c>
      <c r="B175" s="17" t="s">
        <v>898</v>
      </c>
      <c r="C175" s="18" t="s">
        <v>899</v>
      </c>
      <c r="D175" s="19">
        <v>46017</v>
      </c>
      <c r="E175" s="28"/>
      <c r="F175" s="28"/>
      <c r="G175" s="20"/>
      <c r="H175" s="20"/>
      <c r="I175" s="21">
        <v>77.884399999999999</v>
      </c>
      <c r="J175" s="22">
        <f>ROUND(I175*H175,2)</f>
        <v>0</v>
      </c>
      <c r="K175" s="23" t="e">
        <f>ROUND(G175/J175,4)</f>
        <v>#DIV/0!</v>
      </c>
      <c r="L175" s="24" t="e">
        <f>1-K175</f>
        <v>#DIV/0!</v>
      </c>
      <c r="M175" s="25" t="s">
        <v>900</v>
      </c>
      <c r="N175" s="25" t="s">
        <v>901</v>
      </c>
      <c r="O175" s="26" t="s">
        <v>902</v>
      </c>
      <c r="P175" s="27" t="s">
        <v>903</v>
      </c>
      <c r="Q175" s="27" t="s">
        <v>25</v>
      </c>
      <c r="R175" s="64" t="s">
        <v>26</v>
      </c>
      <c r="S175" s="29">
        <v>149</v>
      </c>
      <c r="T175" s="1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:34" s="30" customFormat="1" x14ac:dyDescent="0.3">
      <c r="A176" s="31">
        <v>173</v>
      </c>
      <c r="B176" s="26" t="s">
        <v>904</v>
      </c>
      <c r="C176" s="27" t="s">
        <v>905</v>
      </c>
      <c r="D176" s="19">
        <v>46017</v>
      </c>
      <c r="E176" s="28"/>
      <c r="F176" s="28"/>
      <c r="G176" s="20"/>
      <c r="H176" s="20"/>
      <c r="I176" s="21">
        <v>77.884399999999999</v>
      </c>
      <c r="J176" s="22">
        <f>ROUND(I176*H176,2)</f>
        <v>0</v>
      </c>
      <c r="K176" s="23" t="e">
        <f>ROUND(G176/J176,4)</f>
        <v>#DIV/0!</v>
      </c>
      <c r="L176" s="24" t="e">
        <f>1-K176</f>
        <v>#DIV/0!</v>
      </c>
      <c r="M176" s="25"/>
      <c r="N176" s="25"/>
      <c r="O176" s="26" t="s">
        <v>906</v>
      </c>
      <c r="P176" s="27" t="s">
        <v>907</v>
      </c>
      <c r="Q176" s="27" t="s">
        <v>25</v>
      </c>
      <c r="R176" s="21" t="s">
        <v>26</v>
      </c>
      <c r="S176" s="29"/>
      <c r="T176" s="1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:34" s="30" customFormat="1" x14ac:dyDescent="0.3">
      <c r="A177" s="16">
        <v>174</v>
      </c>
      <c r="B177" s="17" t="s">
        <v>908</v>
      </c>
      <c r="C177" s="18" t="s">
        <v>909</v>
      </c>
      <c r="D177" s="19">
        <v>46017</v>
      </c>
      <c r="E177" s="28"/>
      <c r="F177" s="28"/>
      <c r="G177" s="20"/>
      <c r="H177" s="20"/>
      <c r="I177" s="21">
        <v>77.884399999999999</v>
      </c>
      <c r="J177" s="22">
        <f>ROUND(I177*H177,2)</f>
        <v>0</v>
      </c>
      <c r="K177" s="23" t="e">
        <f>ROUND(G177/J177,4)</f>
        <v>#DIV/0!</v>
      </c>
      <c r="L177" s="24" t="e">
        <f>1-K177</f>
        <v>#DIV/0!</v>
      </c>
      <c r="M177" s="25" t="s">
        <v>910</v>
      </c>
      <c r="N177" s="25" t="s">
        <v>911</v>
      </c>
      <c r="O177" s="26" t="s">
        <v>912</v>
      </c>
      <c r="P177" s="27" t="s">
        <v>809</v>
      </c>
      <c r="Q177" s="27" t="s">
        <v>25</v>
      </c>
      <c r="R177" s="64" t="s">
        <v>39</v>
      </c>
      <c r="S177" s="29">
        <v>150</v>
      </c>
      <c r="T177" s="1"/>
    </row>
    <row r="178" spans="1:34" s="30" customFormat="1" x14ac:dyDescent="0.3">
      <c r="A178" s="16">
        <v>175</v>
      </c>
      <c r="B178" s="17" t="s">
        <v>913</v>
      </c>
      <c r="C178" s="18" t="s">
        <v>914</v>
      </c>
      <c r="D178" s="19">
        <v>46017</v>
      </c>
      <c r="E178" s="28"/>
      <c r="F178" s="28"/>
      <c r="G178" s="20"/>
      <c r="H178" s="20"/>
      <c r="I178" s="21">
        <v>77.884399999999999</v>
      </c>
      <c r="J178" s="22">
        <f>ROUND(I178*H178,2)</f>
        <v>0</v>
      </c>
      <c r="K178" s="23" t="e">
        <f>ROUND(G178/J178,4)</f>
        <v>#DIV/0!</v>
      </c>
      <c r="L178" s="24" t="e">
        <f>1-K178</f>
        <v>#DIV/0!</v>
      </c>
      <c r="M178" s="25" t="s">
        <v>915</v>
      </c>
      <c r="N178" s="25" t="s">
        <v>916</v>
      </c>
      <c r="O178" s="26" t="s">
        <v>917</v>
      </c>
      <c r="P178" s="27" t="s">
        <v>918</v>
      </c>
      <c r="Q178" s="27" t="s">
        <v>25</v>
      </c>
      <c r="R178" s="64" t="s">
        <v>39</v>
      </c>
      <c r="S178" s="29">
        <v>151</v>
      </c>
      <c r="T178" s="1"/>
    </row>
    <row r="179" spans="1:34" s="30" customFormat="1" x14ac:dyDescent="0.3">
      <c r="A179" s="16">
        <v>176</v>
      </c>
      <c r="B179" s="17" t="s">
        <v>919</v>
      </c>
      <c r="C179" s="18" t="s">
        <v>920</v>
      </c>
      <c r="D179" s="19">
        <v>46017</v>
      </c>
      <c r="E179" s="28"/>
      <c r="F179" s="28"/>
      <c r="G179" s="20"/>
      <c r="H179" s="20"/>
      <c r="I179" s="21">
        <v>77.884399999999999</v>
      </c>
      <c r="J179" s="22">
        <f>ROUND(I179*H179,2)</f>
        <v>0</v>
      </c>
      <c r="K179" s="23" t="e">
        <f>ROUND(G179/J179,4)</f>
        <v>#DIV/0!</v>
      </c>
      <c r="L179" s="24" t="e">
        <f>1-K179</f>
        <v>#DIV/0!</v>
      </c>
      <c r="M179" s="25" t="s">
        <v>921</v>
      </c>
      <c r="N179" s="25" t="s">
        <v>922</v>
      </c>
      <c r="O179" s="26" t="s">
        <v>923</v>
      </c>
      <c r="P179" s="27" t="s">
        <v>189</v>
      </c>
      <c r="Q179" s="27" t="s">
        <v>25</v>
      </c>
      <c r="R179" s="21" t="s">
        <v>26</v>
      </c>
      <c r="S179" s="29">
        <v>152</v>
      </c>
      <c r="T179" s="1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:34" s="30" customFormat="1" x14ac:dyDescent="0.3">
      <c r="A180" s="16">
        <v>177</v>
      </c>
      <c r="B180" s="17" t="s">
        <v>924</v>
      </c>
      <c r="C180" s="18" t="s">
        <v>925</v>
      </c>
      <c r="D180" s="19">
        <v>46017</v>
      </c>
      <c r="E180" s="28"/>
      <c r="F180" s="28"/>
      <c r="G180" s="20"/>
      <c r="H180" s="20"/>
      <c r="I180" s="21">
        <v>77.884399999999999</v>
      </c>
      <c r="J180" s="22">
        <f>ROUND(I180*H180,2)</f>
        <v>0</v>
      </c>
      <c r="K180" s="23" t="e">
        <f>ROUND(G180/J180,4)</f>
        <v>#DIV/0!</v>
      </c>
      <c r="L180" s="24" t="e">
        <f>1-K180</f>
        <v>#DIV/0!</v>
      </c>
      <c r="M180" s="25" t="s">
        <v>926</v>
      </c>
      <c r="N180" s="25" t="s">
        <v>927</v>
      </c>
      <c r="O180" s="26" t="s">
        <v>928</v>
      </c>
      <c r="P180" s="27" t="s">
        <v>351</v>
      </c>
      <c r="Q180" s="27" t="s">
        <v>25</v>
      </c>
      <c r="R180" s="21" t="s">
        <v>39</v>
      </c>
      <c r="S180" s="29">
        <v>153</v>
      </c>
      <c r="T180" s="1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:34" s="30" customFormat="1" x14ac:dyDescent="0.3">
      <c r="A181" s="31">
        <v>178</v>
      </c>
      <c r="B181" s="32" t="s">
        <v>929</v>
      </c>
      <c r="C181" s="33" t="s">
        <v>930</v>
      </c>
      <c r="D181" s="19">
        <v>46017</v>
      </c>
      <c r="E181" s="28"/>
      <c r="F181" s="28"/>
      <c r="G181" s="20"/>
      <c r="H181" s="20"/>
      <c r="I181" s="21">
        <v>77.884399999999999</v>
      </c>
      <c r="J181" s="22">
        <f>ROUND(I181*H181,2)</f>
        <v>0</v>
      </c>
      <c r="K181" s="23" t="e">
        <f>ROUND(G181/J181,4)</f>
        <v>#DIV/0!</v>
      </c>
      <c r="L181" s="24" t="e">
        <f>1-K181</f>
        <v>#DIV/0!</v>
      </c>
      <c r="M181" s="25" t="s">
        <v>931</v>
      </c>
      <c r="N181" s="25" t="s">
        <v>932</v>
      </c>
      <c r="O181" s="26" t="s">
        <v>933</v>
      </c>
      <c r="P181" s="27" t="s">
        <v>934</v>
      </c>
      <c r="Q181" s="27" t="s">
        <v>25</v>
      </c>
      <c r="R181" s="64" t="s">
        <v>39</v>
      </c>
      <c r="S181" s="29">
        <v>154</v>
      </c>
      <c r="T181" s="1"/>
    </row>
    <row r="182" spans="1:34" s="30" customFormat="1" x14ac:dyDescent="0.3">
      <c r="A182" s="16">
        <v>179</v>
      </c>
      <c r="B182" s="17" t="s">
        <v>935</v>
      </c>
      <c r="C182" s="18" t="s">
        <v>936</v>
      </c>
      <c r="D182" s="19">
        <v>46017</v>
      </c>
      <c r="E182" s="28"/>
      <c r="F182" s="28"/>
      <c r="G182" s="20"/>
      <c r="H182" s="20"/>
      <c r="I182" s="21">
        <v>77.884399999999999</v>
      </c>
      <c r="J182" s="22">
        <f>ROUND(I182*H182,2)</f>
        <v>0</v>
      </c>
      <c r="K182" s="23" t="e">
        <f>ROUND(G182/J182,4)</f>
        <v>#DIV/0!</v>
      </c>
      <c r="L182" s="24" t="e">
        <f>1-K182</f>
        <v>#DIV/0!</v>
      </c>
      <c r="M182" s="25" t="s">
        <v>937</v>
      </c>
      <c r="N182" s="25" t="s">
        <v>938</v>
      </c>
      <c r="O182" s="26" t="s">
        <v>939</v>
      </c>
      <c r="P182" s="27" t="s">
        <v>174</v>
      </c>
      <c r="Q182" s="27" t="s">
        <v>25</v>
      </c>
      <c r="R182" s="64" t="s">
        <v>39</v>
      </c>
      <c r="S182" s="29">
        <v>155</v>
      </c>
      <c r="T182" s="1"/>
    </row>
    <row r="183" spans="1:34" s="30" customFormat="1" x14ac:dyDescent="0.3">
      <c r="A183" s="16">
        <v>180</v>
      </c>
      <c r="B183" s="17" t="s">
        <v>940</v>
      </c>
      <c r="C183" s="18" t="s">
        <v>941</v>
      </c>
      <c r="D183" s="19">
        <v>46017</v>
      </c>
      <c r="E183" s="28"/>
      <c r="F183" s="28"/>
      <c r="G183" s="20"/>
      <c r="H183" s="20"/>
      <c r="I183" s="21">
        <v>77.884399999999999</v>
      </c>
      <c r="J183" s="22">
        <f>ROUND(I183*H183,2)</f>
        <v>0</v>
      </c>
      <c r="K183" s="23" t="e">
        <f>ROUND(G183/J183,4)</f>
        <v>#DIV/0!</v>
      </c>
      <c r="L183" s="24" t="e">
        <f>1-K183</f>
        <v>#DIV/0!</v>
      </c>
      <c r="M183" s="25" t="s">
        <v>942</v>
      </c>
      <c r="N183" s="25" t="s">
        <v>943</v>
      </c>
      <c r="O183" s="26" t="s">
        <v>944</v>
      </c>
      <c r="P183" s="27" t="s">
        <v>351</v>
      </c>
      <c r="Q183" s="27" t="s">
        <v>25</v>
      </c>
      <c r="R183" s="21" t="s">
        <v>39</v>
      </c>
      <c r="S183" s="29">
        <v>156</v>
      </c>
      <c r="T183" s="1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:34" s="30" customFormat="1" x14ac:dyDescent="0.3">
      <c r="A184" s="16">
        <v>181</v>
      </c>
      <c r="B184" s="17" t="s">
        <v>945</v>
      </c>
      <c r="C184" s="18" t="s">
        <v>946</v>
      </c>
      <c r="D184" s="19">
        <v>46017</v>
      </c>
      <c r="E184" s="28"/>
      <c r="F184" s="28"/>
      <c r="G184" s="20"/>
      <c r="H184" s="20"/>
      <c r="I184" s="21">
        <v>77.884399999999999</v>
      </c>
      <c r="J184" s="22">
        <f>ROUND(I184*H184,2)</f>
        <v>0</v>
      </c>
      <c r="K184" s="23" t="e">
        <f>ROUND(G184/J184,4)</f>
        <v>#DIV/0!</v>
      </c>
      <c r="L184" s="24" t="e">
        <f>1-K184</f>
        <v>#DIV/0!</v>
      </c>
      <c r="M184" s="25" t="s">
        <v>947</v>
      </c>
      <c r="N184" s="25" t="s">
        <v>948</v>
      </c>
      <c r="O184" s="26" t="s">
        <v>949</v>
      </c>
      <c r="P184" s="27"/>
      <c r="Q184" s="27"/>
      <c r="R184" s="64" t="s">
        <v>26</v>
      </c>
      <c r="S184" s="29">
        <v>157</v>
      </c>
      <c r="T184" s="1"/>
    </row>
    <row r="185" spans="1:34" s="30" customFormat="1" x14ac:dyDescent="0.3">
      <c r="A185" s="31">
        <v>182</v>
      </c>
      <c r="B185" s="26" t="s">
        <v>950</v>
      </c>
      <c r="C185" s="27" t="s">
        <v>951</v>
      </c>
      <c r="D185" s="19">
        <v>46017</v>
      </c>
      <c r="E185" s="28"/>
      <c r="F185" s="28"/>
      <c r="G185" s="20"/>
      <c r="H185" s="20"/>
      <c r="I185" s="21">
        <v>77.884399999999999</v>
      </c>
      <c r="J185" s="22">
        <f>ROUND(I185*H185,2)</f>
        <v>0</v>
      </c>
      <c r="K185" s="23" t="e">
        <f>ROUND(G185/J185,4)</f>
        <v>#DIV/0!</v>
      </c>
      <c r="L185" s="24" t="e">
        <f>1-K185</f>
        <v>#DIV/0!</v>
      </c>
      <c r="M185" s="25"/>
      <c r="N185" s="25"/>
      <c r="O185" s="26" t="s">
        <v>952</v>
      </c>
      <c r="P185" s="27" t="s">
        <v>953</v>
      </c>
      <c r="Q185" s="27" t="s">
        <v>100</v>
      </c>
      <c r="R185" s="21" t="s">
        <v>26</v>
      </c>
      <c r="S185" s="29"/>
      <c r="T185" s="47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:34" s="30" customFormat="1" x14ac:dyDescent="0.3">
      <c r="A186" s="16">
        <v>183</v>
      </c>
      <c r="B186" s="17" t="s">
        <v>954</v>
      </c>
      <c r="C186" s="18" t="s">
        <v>955</v>
      </c>
      <c r="D186" s="19">
        <v>46017</v>
      </c>
      <c r="E186" s="28"/>
      <c r="F186" s="28"/>
      <c r="G186" s="20"/>
      <c r="H186" s="20"/>
      <c r="I186" s="21">
        <v>77.884399999999999</v>
      </c>
      <c r="J186" s="22">
        <f>ROUND(I186*H186,2)</f>
        <v>0</v>
      </c>
      <c r="K186" s="23" t="e">
        <f>ROUND(G186/J186,4)</f>
        <v>#DIV/0!</v>
      </c>
      <c r="L186" s="24" t="e">
        <f>1-K186</f>
        <v>#DIV/0!</v>
      </c>
      <c r="M186" s="25" t="s">
        <v>956</v>
      </c>
      <c r="N186" s="25" t="s">
        <v>957</v>
      </c>
      <c r="O186" s="26" t="s">
        <v>958</v>
      </c>
      <c r="P186" s="27" t="s">
        <v>319</v>
      </c>
      <c r="Q186" s="27" t="s">
        <v>25</v>
      </c>
      <c r="R186" s="21" t="s">
        <v>26</v>
      </c>
      <c r="S186" s="29">
        <v>158</v>
      </c>
      <c r="T186" s="1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:34" s="30" customFormat="1" x14ac:dyDescent="0.3">
      <c r="A187" s="16">
        <v>184</v>
      </c>
      <c r="B187" s="17" t="s">
        <v>959</v>
      </c>
      <c r="C187" s="18" t="s">
        <v>960</v>
      </c>
      <c r="D187" s="19">
        <v>46017</v>
      </c>
      <c r="E187" s="28"/>
      <c r="F187" s="28"/>
      <c r="G187" s="20"/>
      <c r="H187" s="20"/>
      <c r="I187" s="21">
        <v>77.884399999999999</v>
      </c>
      <c r="J187" s="22">
        <f>ROUND(I187*H187,2)</f>
        <v>0</v>
      </c>
      <c r="K187" s="23" t="e">
        <f>ROUND(G187/J187,4)</f>
        <v>#DIV/0!</v>
      </c>
      <c r="L187" s="24" t="e">
        <f>1-K187</f>
        <v>#DIV/0!</v>
      </c>
      <c r="M187" s="25" t="s">
        <v>961</v>
      </c>
      <c r="N187" s="25" t="s">
        <v>962</v>
      </c>
      <c r="O187" s="26" t="s">
        <v>963</v>
      </c>
      <c r="P187" s="27" t="s">
        <v>68</v>
      </c>
      <c r="Q187" s="27" t="s">
        <v>25</v>
      </c>
      <c r="R187" s="21" t="s">
        <v>39</v>
      </c>
      <c r="S187" s="29">
        <v>159</v>
      </c>
      <c r="T187" s="1"/>
    </row>
    <row r="188" spans="1:34" s="30" customFormat="1" x14ac:dyDescent="0.3">
      <c r="A188" s="31">
        <v>185</v>
      </c>
      <c r="B188" s="26" t="s">
        <v>964</v>
      </c>
      <c r="C188" s="27" t="s">
        <v>965</v>
      </c>
      <c r="D188" s="19">
        <v>46017</v>
      </c>
      <c r="E188" s="28"/>
      <c r="F188" s="28"/>
      <c r="G188" s="20"/>
      <c r="H188" s="20"/>
      <c r="I188" s="21">
        <v>77.884399999999999</v>
      </c>
      <c r="J188" s="22">
        <f>ROUND(I188*H188,2)</f>
        <v>0</v>
      </c>
      <c r="K188" s="23" t="e">
        <f>ROUND(G188/J188,4)</f>
        <v>#DIV/0!</v>
      </c>
      <c r="L188" s="24" t="e">
        <f>1-K188</f>
        <v>#DIV/0!</v>
      </c>
      <c r="M188" s="25"/>
      <c r="N188" s="25"/>
      <c r="O188" s="26" t="s">
        <v>966</v>
      </c>
      <c r="P188" s="27" t="s">
        <v>967</v>
      </c>
      <c r="Q188" s="27" t="s">
        <v>25</v>
      </c>
      <c r="R188" s="21" t="s">
        <v>26</v>
      </c>
      <c r="S188" s="29"/>
      <c r="T188" s="1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:34" s="30" customFormat="1" x14ac:dyDescent="0.3">
      <c r="A189" s="16">
        <v>186</v>
      </c>
      <c r="B189" s="17" t="s">
        <v>968</v>
      </c>
      <c r="C189" s="18" t="s">
        <v>969</v>
      </c>
      <c r="D189" s="19">
        <v>46017</v>
      </c>
      <c r="E189" s="28"/>
      <c r="F189" s="28"/>
      <c r="G189" s="20"/>
      <c r="H189" s="20"/>
      <c r="I189" s="21">
        <v>77.884399999999999</v>
      </c>
      <c r="J189" s="22">
        <f>ROUND(I189*H189,2)</f>
        <v>0</v>
      </c>
      <c r="K189" s="23" t="e">
        <f>ROUND(G189/J189,4)</f>
        <v>#DIV/0!</v>
      </c>
      <c r="L189" s="24" t="e">
        <f>1-K189</f>
        <v>#DIV/0!</v>
      </c>
      <c r="M189" s="25" t="s">
        <v>970</v>
      </c>
      <c r="N189" s="25" t="s">
        <v>971</v>
      </c>
      <c r="O189" s="26" t="s">
        <v>972</v>
      </c>
      <c r="P189" s="27" t="s">
        <v>973</v>
      </c>
      <c r="Q189" s="27" t="s">
        <v>25</v>
      </c>
      <c r="R189" s="21" t="s">
        <v>39</v>
      </c>
      <c r="S189" s="29">
        <v>160</v>
      </c>
      <c r="T189" s="1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:34" s="30" customFormat="1" x14ac:dyDescent="0.3">
      <c r="A190" s="16">
        <v>758</v>
      </c>
      <c r="B190" s="69" t="s">
        <v>3911</v>
      </c>
      <c r="C190" s="63" t="s">
        <v>3933</v>
      </c>
      <c r="D190" s="19">
        <v>46017</v>
      </c>
      <c r="E190" s="56"/>
      <c r="F190" s="27"/>
      <c r="G190" s="20"/>
      <c r="H190" s="20"/>
      <c r="I190" s="21">
        <v>77.884399999999999</v>
      </c>
      <c r="J190" s="22">
        <f>ROUND(I190*H190,2)</f>
        <v>0</v>
      </c>
      <c r="K190" s="23" t="e">
        <f>ROUND(G190/J190,4)</f>
        <v>#DIV/0!</v>
      </c>
      <c r="L190" s="24" t="e">
        <f>1-K190</f>
        <v>#DIV/0!</v>
      </c>
      <c r="M190" s="37" t="s">
        <v>3810</v>
      </c>
      <c r="N190" s="37" t="s">
        <v>3811</v>
      </c>
      <c r="O190" s="26" t="s">
        <v>3895</v>
      </c>
      <c r="P190" s="27"/>
      <c r="Q190" s="27"/>
      <c r="R190" s="64" t="s">
        <v>26</v>
      </c>
      <c r="S190" s="29">
        <v>161</v>
      </c>
      <c r="U190"/>
      <c r="V190"/>
      <c r="X190"/>
      <c r="Y190"/>
      <c r="Z190"/>
      <c r="AA190"/>
      <c r="AB190"/>
      <c r="AC190"/>
      <c r="AD190"/>
      <c r="AE190"/>
      <c r="AF190"/>
      <c r="AG190"/>
      <c r="AH190"/>
    </row>
    <row r="191" spans="1:34" s="30" customFormat="1" x14ac:dyDescent="0.3">
      <c r="A191" s="16">
        <v>187</v>
      </c>
      <c r="B191" s="17" t="s">
        <v>974</v>
      </c>
      <c r="C191" s="18" t="s">
        <v>975</v>
      </c>
      <c r="D191" s="19">
        <v>46017</v>
      </c>
      <c r="E191" s="28"/>
      <c r="F191" s="28"/>
      <c r="G191" s="20"/>
      <c r="H191" s="20"/>
      <c r="I191" s="21">
        <v>77.884399999999999</v>
      </c>
      <c r="J191" s="22">
        <f>ROUND(I191*H191,2)</f>
        <v>0</v>
      </c>
      <c r="K191" s="23" t="e">
        <f>ROUND(G191/J191,4)</f>
        <v>#DIV/0!</v>
      </c>
      <c r="L191" s="24" t="e">
        <f>1-K191</f>
        <v>#DIV/0!</v>
      </c>
      <c r="M191" s="25" t="s">
        <v>976</v>
      </c>
      <c r="N191" s="25" t="s">
        <v>977</v>
      </c>
      <c r="O191" s="26" t="s">
        <v>978</v>
      </c>
      <c r="P191" s="27" t="s">
        <v>134</v>
      </c>
      <c r="Q191" s="27" t="s">
        <v>25</v>
      </c>
      <c r="R191" s="21"/>
      <c r="S191" s="29">
        <v>162</v>
      </c>
      <c r="T191" s="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:34" s="30" customFormat="1" x14ac:dyDescent="0.3">
      <c r="A192" s="16">
        <v>188</v>
      </c>
      <c r="B192" s="17" t="s">
        <v>979</v>
      </c>
      <c r="C192" s="18" t="s">
        <v>980</v>
      </c>
      <c r="D192" s="19">
        <v>46017</v>
      </c>
      <c r="E192" s="28"/>
      <c r="F192" s="28"/>
      <c r="G192" s="20"/>
      <c r="H192" s="20"/>
      <c r="I192" s="21">
        <v>77.884399999999999</v>
      </c>
      <c r="J192" s="22">
        <f>ROUND(I192*H192,2)</f>
        <v>0</v>
      </c>
      <c r="K192" s="23" t="e">
        <f>ROUND(G192/J192,4)</f>
        <v>#DIV/0!</v>
      </c>
      <c r="L192" s="24" t="e">
        <f>1-K192</f>
        <v>#DIV/0!</v>
      </c>
      <c r="M192" s="25" t="s">
        <v>981</v>
      </c>
      <c r="N192" s="25" t="s">
        <v>982</v>
      </c>
      <c r="O192" s="26" t="s">
        <v>983</v>
      </c>
      <c r="P192" s="27" t="s">
        <v>308</v>
      </c>
      <c r="Q192" s="27" t="s">
        <v>25</v>
      </c>
      <c r="R192" s="64" t="s">
        <v>39</v>
      </c>
      <c r="S192" s="29">
        <v>163</v>
      </c>
      <c r="T192" s="1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:34" s="30" customFormat="1" x14ac:dyDescent="0.3">
      <c r="A193" s="31">
        <v>189</v>
      </c>
      <c r="B193" s="32" t="s">
        <v>984</v>
      </c>
      <c r="C193" s="33" t="s">
        <v>985</v>
      </c>
      <c r="D193" s="19">
        <v>46017</v>
      </c>
      <c r="E193" s="28"/>
      <c r="F193" s="28"/>
      <c r="G193" s="20"/>
      <c r="H193" s="20"/>
      <c r="I193" s="21">
        <v>77.884399999999999</v>
      </c>
      <c r="J193" s="22">
        <f>ROUND(I193*H193,2)</f>
        <v>0</v>
      </c>
      <c r="K193" s="23" t="e">
        <f>ROUND(G193/J193,4)</f>
        <v>#DIV/0!</v>
      </c>
      <c r="L193" s="24" t="e">
        <f>1-K193</f>
        <v>#DIV/0!</v>
      </c>
      <c r="M193" s="25" t="s">
        <v>986</v>
      </c>
      <c r="N193" s="25" t="s">
        <v>987</v>
      </c>
      <c r="O193" s="26" t="s">
        <v>988</v>
      </c>
      <c r="P193" s="27" t="s">
        <v>989</v>
      </c>
      <c r="Q193" s="27" t="s">
        <v>25</v>
      </c>
      <c r="R193" s="21" t="s">
        <v>39</v>
      </c>
      <c r="S193" s="29">
        <v>164</v>
      </c>
      <c r="T193" s="1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:34" s="30" customFormat="1" x14ac:dyDescent="0.3">
      <c r="A194" s="31">
        <v>190</v>
      </c>
      <c r="B194" s="32" t="s">
        <v>990</v>
      </c>
      <c r="C194" s="33" t="s">
        <v>991</v>
      </c>
      <c r="D194" s="19">
        <v>46017</v>
      </c>
      <c r="E194" s="28"/>
      <c r="F194" s="28"/>
      <c r="G194" s="20"/>
      <c r="H194" s="20"/>
      <c r="I194" s="21">
        <v>77.884399999999999</v>
      </c>
      <c r="J194" s="22">
        <f>ROUND(I194*H194,2)</f>
        <v>0</v>
      </c>
      <c r="K194" s="23" t="e">
        <f>ROUND(G194/J194,4)</f>
        <v>#DIV/0!</v>
      </c>
      <c r="L194" s="24" t="e">
        <f>1-K194</f>
        <v>#DIV/0!</v>
      </c>
      <c r="M194" s="25" t="s">
        <v>992</v>
      </c>
      <c r="N194" s="25" t="s">
        <v>993</v>
      </c>
      <c r="O194" s="26" t="s">
        <v>994</v>
      </c>
      <c r="P194" s="27" t="s">
        <v>319</v>
      </c>
      <c r="Q194" s="27" t="s">
        <v>25</v>
      </c>
      <c r="R194" s="21" t="s">
        <v>39</v>
      </c>
      <c r="S194" s="29">
        <v>165</v>
      </c>
      <c r="T194" s="1"/>
    </row>
    <row r="195" spans="1:34" s="30" customFormat="1" x14ac:dyDescent="0.3">
      <c r="A195" s="16">
        <v>191</v>
      </c>
      <c r="B195" s="17" t="s">
        <v>995</v>
      </c>
      <c r="C195" s="18" t="s">
        <v>996</v>
      </c>
      <c r="D195" s="19">
        <v>46017</v>
      </c>
      <c r="E195" s="28"/>
      <c r="F195" s="28"/>
      <c r="G195" s="20"/>
      <c r="H195" s="20"/>
      <c r="I195" s="21">
        <v>77.884399999999999</v>
      </c>
      <c r="J195" s="22">
        <f>ROUND(I195*H195,2)</f>
        <v>0</v>
      </c>
      <c r="K195" s="23" t="e">
        <f>ROUND(G195/J195,4)</f>
        <v>#DIV/0!</v>
      </c>
      <c r="L195" s="24" t="e">
        <f>1-K195</f>
        <v>#DIV/0!</v>
      </c>
      <c r="M195" s="25" t="s">
        <v>997</v>
      </c>
      <c r="N195" s="25" t="s">
        <v>998</v>
      </c>
      <c r="O195" s="26" t="s">
        <v>999</v>
      </c>
      <c r="P195" s="27" t="s">
        <v>809</v>
      </c>
      <c r="Q195" s="27" t="s">
        <v>25</v>
      </c>
      <c r="R195" s="64" t="s">
        <v>39</v>
      </c>
      <c r="S195" s="29">
        <v>166</v>
      </c>
      <c r="T195" s="1"/>
    </row>
    <row r="196" spans="1:34" s="30" customFormat="1" x14ac:dyDescent="0.3">
      <c r="A196" s="16">
        <v>192</v>
      </c>
      <c r="B196" s="17" t="s">
        <v>1000</v>
      </c>
      <c r="C196" s="18" t="s">
        <v>1001</v>
      </c>
      <c r="D196" s="19">
        <v>46017</v>
      </c>
      <c r="E196" s="28"/>
      <c r="F196" s="28"/>
      <c r="G196" s="20"/>
      <c r="H196" s="20"/>
      <c r="I196" s="21">
        <v>77.884399999999999</v>
      </c>
      <c r="J196" s="22">
        <f>ROUND(I196*H196,2)</f>
        <v>0</v>
      </c>
      <c r="K196" s="23" t="e">
        <f>ROUND(G196/J196,4)</f>
        <v>#DIV/0!</v>
      </c>
      <c r="L196" s="24" t="e">
        <f>1-K196</f>
        <v>#DIV/0!</v>
      </c>
      <c r="M196" s="25" t="s">
        <v>1002</v>
      </c>
      <c r="N196" s="25" t="s">
        <v>1003</v>
      </c>
      <c r="O196" s="26" t="s">
        <v>1004</v>
      </c>
      <c r="P196" s="27" t="s">
        <v>32</v>
      </c>
      <c r="Q196" s="27" t="s">
        <v>25</v>
      </c>
      <c r="R196" s="64" t="s">
        <v>26</v>
      </c>
      <c r="S196" s="29">
        <v>167</v>
      </c>
      <c r="T196" s="1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:34" s="30" customFormat="1" x14ac:dyDescent="0.3">
      <c r="A197" s="31">
        <v>193</v>
      </c>
      <c r="B197" s="32" t="s">
        <v>1005</v>
      </c>
      <c r="C197" s="33" t="s">
        <v>1006</v>
      </c>
      <c r="D197" s="19">
        <v>46017</v>
      </c>
      <c r="E197" s="28"/>
      <c r="F197" s="28"/>
      <c r="G197" s="20"/>
      <c r="H197" s="20"/>
      <c r="I197" s="21">
        <v>77.884399999999999</v>
      </c>
      <c r="J197" s="22">
        <f>ROUND(I197*H197,2)</f>
        <v>0</v>
      </c>
      <c r="K197" s="23" t="e">
        <f>ROUND(G197/J197,4)</f>
        <v>#DIV/0!</v>
      </c>
      <c r="L197" s="24" t="e">
        <f>1-K197</f>
        <v>#DIV/0!</v>
      </c>
      <c r="M197" s="25" t="s">
        <v>1007</v>
      </c>
      <c r="N197" s="25" t="s">
        <v>1008</v>
      </c>
      <c r="O197" s="26" t="s">
        <v>1009</v>
      </c>
      <c r="P197" s="27" t="s">
        <v>444</v>
      </c>
      <c r="Q197" s="27" t="s">
        <v>1010</v>
      </c>
      <c r="R197" s="21" t="s">
        <v>26</v>
      </c>
      <c r="S197" s="29">
        <v>168</v>
      </c>
      <c r="T197" s="1"/>
    </row>
    <row r="198" spans="1:34" s="30" customFormat="1" x14ac:dyDescent="0.3">
      <c r="A198" s="16">
        <v>194</v>
      </c>
      <c r="B198" s="17" t="s">
        <v>1011</v>
      </c>
      <c r="C198" s="18" t="s">
        <v>1012</v>
      </c>
      <c r="D198" s="19">
        <v>46017</v>
      </c>
      <c r="E198" s="28"/>
      <c r="F198" s="28"/>
      <c r="G198" s="20"/>
      <c r="H198" s="20"/>
      <c r="I198" s="21">
        <v>77.884399999999999</v>
      </c>
      <c r="J198" s="22">
        <f>ROUND(I198*H198,2)</f>
        <v>0</v>
      </c>
      <c r="K198" s="23" t="e">
        <f>ROUND(G198/J198,4)</f>
        <v>#DIV/0!</v>
      </c>
      <c r="L198" s="24" t="e">
        <f>1-K198</f>
        <v>#DIV/0!</v>
      </c>
      <c r="M198" s="25" t="s">
        <v>1013</v>
      </c>
      <c r="N198" s="25" t="s">
        <v>1014</v>
      </c>
      <c r="O198" s="26" t="s">
        <v>1015</v>
      </c>
      <c r="P198" s="27" t="s">
        <v>32</v>
      </c>
      <c r="Q198" s="27" t="s">
        <v>25</v>
      </c>
      <c r="R198" s="64" t="s">
        <v>26</v>
      </c>
      <c r="S198" s="29">
        <v>169</v>
      </c>
      <c r="T198" s="1"/>
    </row>
    <row r="199" spans="1:34" s="30" customFormat="1" x14ac:dyDescent="0.3">
      <c r="A199" s="31">
        <v>195</v>
      </c>
      <c r="B199" s="32" t="s">
        <v>1016</v>
      </c>
      <c r="C199" s="33" t="s">
        <v>1017</v>
      </c>
      <c r="D199" s="19">
        <v>46017</v>
      </c>
      <c r="E199" s="28"/>
      <c r="F199" s="28"/>
      <c r="G199" s="20"/>
      <c r="H199" s="20"/>
      <c r="I199" s="21">
        <v>77.884399999999999</v>
      </c>
      <c r="J199" s="22">
        <f>ROUND(I199*H199,2)</f>
        <v>0</v>
      </c>
      <c r="K199" s="23" t="e">
        <f>ROUND(G199/J199,4)</f>
        <v>#DIV/0!</v>
      </c>
      <c r="L199" s="24" t="e">
        <f>1-K199</f>
        <v>#DIV/0!</v>
      </c>
      <c r="M199" s="25" t="s">
        <v>1018</v>
      </c>
      <c r="N199" s="25" t="s">
        <v>1019</v>
      </c>
      <c r="O199" s="26" t="s">
        <v>1020</v>
      </c>
      <c r="P199" s="27" t="s">
        <v>1021</v>
      </c>
      <c r="Q199" s="27" t="s">
        <v>25</v>
      </c>
      <c r="R199" s="64" t="s">
        <v>26</v>
      </c>
      <c r="S199" s="29">
        <v>170</v>
      </c>
      <c r="T199" s="1"/>
    </row>
    <row r="200" spans="1:34" s="30" customFormat="1" x14ac:dyDescent="0.3">
      <c r="A200" s="31">
        <v>196</v>
      </c>
      <c r="B200" s="32" t="s">
        <v>1022</v>
      </c>
      <c r="C200" s="33" t="s">
        <v>1023</v>
      </c>
      <c r="D200" s="19">
        <v>46017</v>
      </c>
      <c r="E200" s="28"/>
      <c r="F200" s="28"/>
      <c r="G200" s="20"/>
      <c r="H200" s="20"/>
      <c r="I200" s="21">
        <v>77.884399999999999</v>
      </c>
      <c r="J200" s="22">
        <f>ROUND(I200*H200,2)</f>
        <v>0</v>
      </c>
      <c r="K200" s="23" t="e">
        <f>ROUND(G200/J200,4)</f>
        <v>#DIV/0!</v>
      </c>
      <c r="L200" s="24" t="e">
        <f>1-K200</f>
        <v>#DIV/0!</v>
      </c>
      <c r="M200" s="25" t="s">
        <v>1024</v>
      </c>
      <c r="N200" s="25" t="s">
        <v>1025</v>
      </c>
      <c r="O200" s="26" t="s">
        <v>1026</v>
      </c>
      <c r="P200" s="27" t="s">
        <v>107</v>
      </c>
      <c r="Q200" s="27" t="s">
        <v>25</v>
      </c>
      <c r="R200" s="64" t="s">
        <v>26</v>
      </c>
      <c r="S200" s="29">
        <v>171</v>
      </c>
      <c r="T200" s="1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:34" s="30" customFormat="1" x14ac:dyDescent="0.3">
      <c r="A201" s="31">
        <v>197</v>
      </c>
      <c r="B201" s="26" t="s">
        <v>1027</v>
      </c>
      <c r="C201" s="27" t="s">
        <v>1028</v>
      </c>
      <c r="D201" s="19">
        <v>46017</v>
      </c>
      <c r="E201" s="28"/>
      <c r="F201" s="28"/>
      <c r="G201" s="20"/>
      <c r="H201" s="20"/>
      <c r="I201" s="21">
        <v>77.884399999999999</v>
      </c>
      <c r="J201" s="22">
        <f>ROUND(I201*H201,2)</f>
        <v>0</v>
      </c>
      <c r="K201" s="23" t="e">
        <f>ROUND(G201/J201,4)</f>
        <v>#DIV/0!</v>
      </c>
      <c r="L201" s="24" t="e">
        <f>1-K201</f>
        <v>#DIV/0!</v>
      </c>
      <c r="M201" s="25"/>
      <c r="N201" s="25"/>
      <c r="O201" s="26" t="s">
        <v>1029</v>
      </c>
      <c r="P201" s="27" t="s">
        <v>1030</v>
      </c>
      <c r="Q201" s="27" t="s">
        <v>25</v>
      </c>
      <c r="R201" s="21" t="s">
        <v>26</v>
      </c>
      <c r="S201" s="29"/>
      <c r="T201" s="1"/>
      <c r="W201"/>
      <c r="X201"/>
      <c r="Y201"/>
      <c r="Z201"/>
      <c r="AA201"/>
      <c r="AB201"/>
      <c r="AC201"/>
      <c r="AD201"/>
      <c r="AE201"/>
      <c r="AF201"/>
      <c r="AG201"/>
      <c r="AH201"/>
    </row>
    <row r="202" spans="1:34" s="30" customFormat="1" x14ac:dyDescent="0.3">
      <c r="A202" s="16">
        <v>198</v>
      </c>
      <c r="B202" s="17" t="s">
        <v>1031</v>
      </c>
      <c r="C202" s="18" t="s">
        <v>1032</v>
      </c>
      <c r="D202" s="19">
        <v>46017</v>
      </c>
      <c r="E202" s="28"/>
      <c r="F202" s="28"/>
      <c r="G202" s="20"/>
      <c r="H202" s="20"/>
      <c r="I202" s="21">
        <v>77.884399999999999</v>
      </c>
      <c r="J202" s="22">
        <f>ROUND(I202*H202,2)</f>
        <v>0</v>
      </c>
      <c r="K202" s="23" t="e">
        <f>ROUND(G202/J202,4)</f>
        <v>#DIV/0!</v>
      </c>
      <c r="L202" s="24" t="e">
        <f>1-K202</f>
        <v>#DIV/0!</v>
      </c>
      <c r="M202" s="25" t="s">
        <v>1033</v>
      </c>
      <c r="N202" s="25" t="s">
        <v>1034</v>
      </c>
      <c r="O202" s="26" t="s">
        <v>1035</v>
      </c>
      <c r="P202" s="27" t="s">
        <v>1036</v>
      </c>
      <c r="Q202" s="27" t="s">
        <v>25</v>
      </c>
      <c r="R202" s="21" t="s">
        <v>39</v>
      </c>
      <c r="S202" s="29">
        <v>172</v>
      </c>
      <c r="T202" s="1"/>
      <c r="W202"/>
      <c r="X202"/>
      <c r="Y202"/>
      <c r="Z202"/>
      <c r="AA202"/>
      <c r="AB202"/>
      <c r="AC202"/>
      <c r="AD202"/>
      <c r="AE202"/>
      <c r="AF202"/>
      <c r="AG202"/>
      <c r="AH202"/>
    </row>
    <row r="203" spans="1:34" s="30" customFormat="1" x14ac:dyDescent="0.3">
      <c r="A203" s="31">
        <v>199</v>
      </c>
      <c r="B203" s="32" t="s">
        <v>1037</v>
      </c>
      <c r="C203" s="33" t="s">
        <v>1038</v>
      </c>
      <c r="D203" s="19">
        <v>46017</v>
      </c>
      <c r="E203" s="28"/>
      <c r="F203" s="28"/>
      <c r="G203" s="20"/>
      <c r="H203" s="20"/>
      <c r="I203" s="21">
        <v>77.884399999999999</v>
      </c>
      <c r="J203" s="22">
        <f>ROUND(I203*H203,2)</f>
        <v>0</v>
      </c>
      <c r="K203" s="23" t="e">
        <f>ROUND(G203/J203,4)</f>
        <v>#DIV/0!</v>
      </c>
      <c r="L203" s="24" t="e">
        <f>1-K203</f>
        <v>#DIV/0!</v>
      </c>
      <c r="M203" s="25" t="s">
        <v>1039</v>
      </c>
      <c r="N203" s="25" t="s">
        <v>1040</v>
      </c>
      <c r="O203" s="26" t="s">
        <v>1041</v>
      </c>
      <c r="P203" s="27" t="s">
        <v>1042</v>
      </c>
      <c r="Q203" s="27" t="s">
        <v>25</v>
      </c>
      <c r="R203" s="21" t="s">
        <v>39</v>
      </c>
      <c r="S203" s="29">
        <v>173</v>
      </c>
      <c r="T203" s="1"/>
      <c r="W203"/>
      <c r="X203"/>
      <c r="Y203"/>
      <c r="Z203"/>
      <c r="AA203"/>
      <c r="AB203"/>
      <c r="AC203"/>
      <c r="AD203"/>
      <c r="AE203"/>
      <c r="AF203"/>
      <c r="AG203"/>
      <c r="AH203"/>
    </row>
    <row r="204" spans="1:34" s="30" customFormat="1" x14ac:dyDescent="0.3">
      <c r="A204" s="16">
        <v>200</v>
      </c>
      <c r="B204" s="17" t="s">
        <v>1043</v>
      </c>
      <c r="C204" s="18" t="s">
        <v>1044</v>
      </c>
      <c r="D204" s="19">
        <v>46017</v>
      </c>
      <c r="E204" s="28"/>
      <c r="F204" s="28"/>
      <c r="G204" s="20"/>
      <c r="H204" s="20"/>
      <c r="I204" s="21">
        <v>77.884399999999999</v>
      </c>
      <c r="J204" s="22">
        <f>ROUND(I204*H204,2)</f>
        <v>0</v>
      </c>
      <c r="K204" s="23" t="e">
        <f>ROUND(G204/J204,4)</f>
        <v>#DIV/0!</v>
      </c>
      <c r="L204" s="24" t="e">
        <f>1-K204</f>
        <v>#DIV/0!</v>
      </c>
      <c r="M204" s="25" t="s">
        <v>1045</v>
      </c>
      <c r="N204" s="25" t="s">
        <v>1046</v>
      </c>
      <c r="O204" s="26" t="s">
        <v>1047</v>
      </c>
      <c r="P204" s="27" t="s">
        <v>1048</v>
      </c>
      <c r="Q204" s="27" t="s">
        <v>25</v>
      </c>
      <c r="R204" s="21" t="s">
        <v>39</v>
      </c>
      <c r="S204" s="29">
        <v>174</v>
      </c>
      <c r="T204" s="1"/>
      <c r="W204"/>
      <c r="X204"/>
      <c r="Y204"/>
      <c r="Z204"/>
      <c r="AA204"/>
      <c r="AB204"/>
      <c r="AC204"/>
      <c r="AD204"/>
      <c r="AE204"/>
      <c r="AF204"/>
      <c r="AG204"/>
      <c r="AH204"/>
    </row>
    <row r="205" spans="1:34" s="30" customFormat="1" x14ac:dyDescent="0.3">
      <c r="A205" s="31">
        <v>201</v>
      </c>
      <c r="B205" s="32" t="s">
        <v>1049</v>
      </c>
      <c r="C205" s="33" t="s">
        <v>1050</v>
      </c>
      <c r="D205" s="19">
        <v>46017</v>
      </c>
      <c r="E205" s="28"/>
      <c r="F205" s="28"/>
      <c r="G205" s="20"/>
      <c r="H205" s="20"/>
      <c r="I205" s="21">
        <v>77.884399999999999</v>
      </c>
      <c r="J205" s="22">
        <f>ROUND(I205*H205,2)</f>
        <v>0</v>
      </c>
      <c r="K205" s="23" t="e">
        <f>ROUND(G205/J205,4)</f>
        <v>#DIV/0!</v>
      </c>
      <c r="L205" s="24" t="e">
        <f>1-K205</f>
        <v>#DIV/0!</v>
      </c>
      <c r="M205" s="25" t="s">
        <v>1051</v>
      </c>
      <c r="N205" s="25" t="s">
        <v>1052</v>
      </c>
      <c r="O205" s="26" t="s">
        <v>1053</v>
      </c>
      <c r="P205" s="27" t="s">
        <v>1054</v>
      </c>
      <c r="Q205" s="27" t="s">
        <v>25</v>
      </c>
      <c r="R205" s="21" t="s">
        <v>39</v>
      </c>
      <c r="S205" s="29">
        <v>175</v>
      </c>
      <c r="T205" s="1"/>
    </row>
    <row r="206" spans="1:34" s="30" customFormat="1" x14ac:dyDescent="0.3">
      <c r="A206" s="16">
        <v>202</v>
      </c>
      <c r="B206" s="17" t="s">
        <v>1055</v>
      </c>
      <c r="C206" s="18" t="s">
        <v>1056</v>
      </c>
      <c r="D206" s="19">
        <v>46017</v>
      </c>
      <c r="E206" s="28"/>
      <c r="F206" s="28"/>
      <c r="G206" s="20"/>
      <c r="H206" s="20"/>
      <c r="I206" s="21">
        <v>77.884399999999999</v>
      </c>
      <c r="J206" s="22">
        <f>ROUND(I206*H206,2)</f>
        <v>0</v>
      </c>
      <c r="K206" s="23" t="e">
        <f>ROUND(G206/J206,4)</f>
        <v>#DIV/0!</v>
      </c>
      <c r="L206" s="24" t="e">
        <f>1-K206</f>
        <v>#DIV/0!</v>
      </c>
      <c r="M206" s="25" t="s">
        <v>1057</v>
      </c>
      <c r="N206" s="25" t="s">
        <v>1058</v>
      </c>
      <c r="O206" s="26" t="s">
        <v>1059</v>
      </c>
      <c r="P206" s="27" t="s">
        <v>74</v>
      </c>
      <c r="Q206" s="27" t="s">
        <v>25</v>
      </c>
      <c r="R206" s="64" t="s">
        <v>39</v>
      </c>
      <c r="S206" s="29">
        <v>176</v>
      </c>
      <c r="T206" s="1"/>
      <c r="W206"/>
      <c r="X206"/>
      <c r="Y206"/>
      <c r="Z206"/>
      <c r="AA206"/>
      <c r="AB206"/>
      <c r="AC206"/>
      <c r="AD206"/>
      <c r="AE206"/>
      <c r="AF206"/>
      <c r="AG206"/>
      <c r="AH206"/>
    </row>
    <row r="207" spans="1:34" s="30" customFormat="1" x14ac:dyDescent="0.3">
      <c r="A207" s="16">
        <v>203</v>
      </c>
      <c r="B207" s="17" t="s">
        <v>1060</v>
      </c>
      <c r="C207" s="34" t="s">
        <v>1061</v>
      </c>
      <c r="D207" s="19">
        <v>46017</v>
      </c>
      <c r="E207" s="28"/>
      <c r="F207" s="28"/>
      <c r="G207" s="20"/>
      <c r="H207" s="20"/>
      <c r="I207" s="21">
        <v>77.884399999999999</v>
      </c>
      <c r="J207" s="22">
        <f>ROUND(I207*H207,2)</f>
        <v>0</v>
      </c>
      <c r="K207" s="23" t="e">
        <f>ROUND(G207/J207,4)</f>
        <v>#DIV/0!</v>
      </c>
      <c r="L207" s="24" t="e">
        <f>1-K207</f>
        <v>#DIV/0!</v>
      </c>
      <c r="M207" s="25" t="s">
        <v>1062</v>
      </c>
      <c r="N207" s="25" t="s">
        <v>1063</v>
      </c>
      <c r="O207" s="26" t="s">
        <v>1064</v>
      </c>
      <c r="P207" s="27" t="s">
        <v>345</v>
      </c>
      <c r="Q207" s="27" t="s">
        <v>25</v>
      </c>
      <c r="R207" s="21" t="s">
        <v>39</v>
      </c>
      <c r="S207" s="29">
        <v>177</v>
      </c>
      <c r="T207" s="1"/>
      <c r="W207"/>
      <c r="X207"/>
      <c r="Y207"/>
      <c r="Z207"/>
      <c r="AA207"/>
      <c r="AB207"/>
      <c r="AC207"/>
      <c r="AD207"/>
      <c r="AE207"/>
      <c r="AF207"/>
      <c r="AG207"/>
      <c r="AH207"/>
    </row>
    <row r="208" spans="1:34" s="30" customFormat="1" x14ac:dyDescent="0.3">
      <c r="A208" s="16">
        <v>204</v>
      </c>
      <c r="B208" s="17" t="s">
        <v>1065</v>
      </c>
      <c r="C208" s="18" t="s">
        <v>1066</v>
      </c>
      <c r="D208" s="19">
        <v>46017</v>
      </c>
      <c r="E208" s="28"/>
      <c r="F208" s="28"/>
      <c r="G208" s="20"/>
      <c r="H208" s="20"/>
      <c r="I208" s="21">
        <v>77.884399999999999</v>
      </c>
      <c r="J208" s="22">
        <f>ROUND(I208*H208,2)</f>
        <v>0</v>
      </c>
      <c r="K208" s="23" t="e">
        <f>ROUND(G208/J208,4)</f>
        <v>#DIV/0!</v>
      </c>
      <c r="L208" s="24" t="e">
        <f>1-K208</f>
        <v>#DIV/0!</v>
      </c>
      <c r="M208" s="25" t="s">
        <v>1067</v>
      </c>
      <c r="N208" s="25" t="s">
        <v>1068</v>
      </c>
      <c r="O208" s="26" t="s">
        <v>1069</v>
      </c>
      <c r="P208" s="27" t="s">
        <v>351</v>
      </c>
      <c r="Q208" s="27" t="s">
        <v>25</v>
      </c>
      <c r="R208" s="21" t="s">
        <v>39</v>
      </c>
      <c r="S208" s="29">
        <v>178</v>
      </c>
      <c r="T208" s="1"/>
      <c r="W208"/>
      <c r="X208"/>
      <c r="Y208"/>
      <c r="Z208"/>
      <c r="AA208"/>
      <c r="AB208"/>
      <c r="AC208"/>
      <c r="AD208"/>
      <c r="AE208"/>
      <c r="AF208"/>
      <c r="AG208"/>
      <c r="AH208"/>
    </row>
    <row r="209" spans="1:34" s="30" customFormat="1" x14ac:dyDescent="0.3">
      <c r="A209" s="16">
        <v>205</v>
      </c>
      <c r="B209" s="17" t="s">
        <v>1070</v>
      </c>
      <c r="C209" s="18" t="s">
        <v>1071</v>
      </c>
      <c r="D209" s="19">
        <v>46017</v>
      </c>
      <c r="E209" s="28"/>
      <c r="F209" s="28"/>
      <c r="G209" s="20"/>
      <c r="H209" s="20"/>
      <c r="I209" s="21">
        <v>77.884399999999999</v>
      </c>
      <c r="J209" s="22">
        <f>ROUND(I209*H209,2)</f>
        <v>0</v>
      </c>
      <c r="K209" s="23" t="e">
        <f>ROUND(G209/J209,4)</f>
        <v>#DIV/0!</v>
      </c>
      <c r="L209" s="24" t="e">
        <f>1-K209</f>
        <v>#DIV/0!</v>
      </c>
      <c r="M209" s="25" t="s">
        <v>1072</v>
      </c>
      <c r="N209" s="25" t="s">
        <v>1073</v>
      </c>
      <c r="O209" s="26" t="s">
        <v>1074</v>
      </c>
      <c r="P209" s="27" t="s">
        <v>502</v>
      </c>
      <c r="Q209" s="27" t="s">
        <v>25</v>
      </c>
      <c r="R209" s="21" t="s">
        <v>26</v>
      </c>
      <c r="S209" s="29">
        <v>179</v>
      </c>
      <c r="T209" s="1"/>
      <c r="W209"/>
      <c r="X209"/>
      <c r="Y209"/>
      <c r="Z209"/>
      <c r="AA209"/>
      <c r="AB209"/>
      <c r="AC209"/>
      <c r="AD209"/>
      <c r="AE209"/>
      <c r="AF209"/>
      <c r="AG209"/>
      <c r="AH209"/>
    </row>
    <row r="210" spans="1:34" s="30" customFormat="1" x14ac:dyDescent="0.3">
      <c r="A210" s="16">
        <v>206</v>
      </c>
      <c r="B210" s="17" t="s">
        <v>1075</v>
      </c>
      <c r="C210" s="34" t="s">
        <v>1076</v>
      </c>
      <c r="D210" s="19">
        <v>46017</v>
      </c>
      <c r="E210" s="28"/>
      <c r="F210" s="28"/>
      <c r="G210" s="20"/>
      <c r="H210" s="20"/>
      <c r="I210" s="21">
        <v>77.884399999999999</v>
      </c>
      <c r="J210" s="22">
        <f>ROUND(I210*H210,2)</f>
        <v>0</v>
      </c>
      <c r="K210" s="23" t="e">
        <f>ROUND(G210/J210,4)</f>
        <v>#DIV/0!</v>
      </c>
      <c r="L210" s="24" t="e">
        <f>1-K210</f>
        <v>#DIV/0!</v>
      </c>
      <c r="M210" s="25" t="s">
        <v>1077</v>
      </c>
      <c r="N210" s="25" t="s">
        <v>1078</v>
      </c>
      <c r="O210" s="26" t="s">
        <v>1079</v>
      </c>
      <c r="P210" s="27" t="s">
        <v>345</v>
      </c>
      <c r="Q210" s="27" t="s">
        <v>25</v>
      </c>
      <c r="R210" s="21" t="s">
        <v>39</v>
      </c>
      <c r="S210" s="29">
        <v>180</v>
      </c>
      <c r="T210" s="1"/>
      <c r="W210"/>
      <c r="X210"/>
      <c r="Y210"/>
      <c r="Z210"/>
      <c r="AA210"/>
      <c r="AB210"/>
      <c r="AC210"/>
      <c r="AD210"/>
      <c r="AE210"/>
      <c r="AF210"/>
      <c r="AG210"/>
      <c r="AH210"/>
    </row>
    <row r="211" spans="1:34" s="30" customFormat="1" x14ac:dyDescent="0.3">
      <c r="A211" s="16">
        <v>207</v>
      </c>
      <c r="B211" s="17" t="s">
        <v>1080</v>
      </c>
      <c r="C211" s="18" t="s">
        <v>1081</v>
      </c>
      <c r="D211" s="19">
        <v>46017</v>
      </c>
      <c r="E211" s="28"/>
      <c r="F211" s="28"/>
      <c r="G211" s="20"/>
      <c r="H211" s="20"/>
      <c r="I211" s="21">
        <v>77.884399999999999</v>
      </c>
      <c r="J211" s="22">
        <f>ROUND(I211*H211,2)</f>
        <v>0</v>
      </c>
      <c r="K211" s="23" t="e">
        <f>ROUND(G211/J211,4)</f>
        <v>#DIV/0!</v>
      </c>
      <c r="L211" s="24" t="e">
        <f>1-K211</f>
        <v>#DIV/0!</v>
      </c>
      <c r="M211" s="25" t="s">
        <v>1082</v>
      </c>
      <c r="N211" s="25" t="s">
        <v>1083</v>
      </c>
      <c r="O211" s="26" t="s">
        <v>1084</v>
      </c>
      <c r="P211" s="27" t="s">
        <v>1085</v>
      </c>
      <c r="Q211" s="27" t="s">
        <v>25</v>
      </c>
      <c r="R211" s="21" t="s">
        <v>26</v>
      </c>
      <c r="S211" s="29">
        <v>181</v>
      </c>
      <c r="T211" s="1"/>
      <c r="W211"/>
      <c r="X211"/>
      <c r="Y211"/>
      <c r="Z211"/>
      <c r="AA211"/>
      <c r="AB211"/>
      <c r="AC211"/>
      <c r="AD211"/>
      <c r="AE211"/>
      <c r="AF211"/>
      <c r="AG211"/>
      <c r="AH211"/>
    </row>
    <row r="212" spans="1:34" s="30" customFormat="1" x14ac:dyDescent="0.3">
      <c r="A212" s="16">
        <v>208</v>
      </c>
      <c r="B212" s="17" t="s">
        <v>1086</v>
      </c>
      <c r="C212" s="18" t="s">
        <v>1087</v>
      </c>
      <c r="D212" s="19">
        <v>46017</v>
      </c>
      <c r="E212" s="28"/>
      <c r="F212" s="28"/>
      <c r="G212" s="20"/>
      <c r="H212" s="20"/>
      <c r="I212" s="21">
        <v>77.884399999999999</v>
      </c>
      <c r="J212" s="22">
        <f>ROUND(I212*H212,2)</f>
        <v>0</v>
      </c>
      <c r="K212" s="23" t="e">
        <f>ROUND(G212/J212,4)</f>
        <v>#DIV/0!</v>
      </c>
      <c r="L212" s="24" t="e">
        <f>1-K212</f>
        <v>#DIV/0!</v>
      </c>
      <c r="M212" s="25" t="s">
        <v>1088</v>
      </c>
      <c r="N212" s="25" t="s">
        <v>1089</v>
      </c>
      <c r="O212" s="26" t="s">
        <v>1090</v>
      </c>
      <c r="P212" s="27" t="s">
        <v>38</v>
      </c>
      <c r="Q212" s="27" t="s">
        <v>25</v>
      </c>
      <c r="R212" s="21" t="s">
        <v>39</v>
      </c>
      <c r="S212" s="29">
        <v>182</v>
      </c>
      <c r="T212" s="1"/>
      <c r="W212"/>
      <c r="X212"/>
      <c r="Y212"/>
      <c r="Z212"/>
      <c r="AA212"/>
      <c r="AB212"/>
      <c r="AC212"/>
      <c r="AD212"/>
      <c r="AE212"/>
      <c r="AF212"/>
      <c r="AG212"/>
      <c r="AH212"/>
    </row>
    <row r="213" spans="1:34" s="30" customFormat="1" x14ac:dyDescent="0.3">
      <c r="A213" s="31">
        <v>209</v>
      </c>
      <c r="B213" s="26" t="s">
        <v>1091</v>
      </c>
      <c r="C213" s="27" t="s">
        <v>1092</v>
      </c>
      <c r="D213" s="19">
        <v>46017</v>
      </c>
      <c r="E213" s="28"/>
      <c r="F213" s="28"/>
      <c r="G213" s="20"/>
      <c r="H213" s="20"/>
      <c r="I213" s="21">
        <v>77.884399999999999</v>
      </c>
      <c r="J213" s="22">
        <f>ROUND(I213*H213,2)</f>
        <v>0</v>
      </c>
      <c r="K213" s="23" t="e">
        <f>ROUND(G213/J213,4)</f>
        <v>#DIV/0!</v>
      </c>
      <c r="L213" s="24" t="e">
        <f>1-K213</f>
        <v>#DIV/0!</v>
      </c>
      <c r="M213" s="25"/>
      <c r="N213" s="25"/>
      <c r="O213" s="26" t="s">
        <v>1093</v>
      </c>
      <c r="P213" s="27" t="s">
        <v>1094</v>
      </c>
      <c r="Q213" s="27" t="s">
        <v>25</v>
      </c>
      <c r="R213" s="21" t="s">
        <v>39</v>
      </c>
      <c r="S213" s="29"/>
      <c r="T213" s="1"/>
      <c r="W213"/>
      <c r="X213"/>
      <c r="Y213"/>
      <c r="Z213"/>
      <c r="AA213"/>
      <c r="AB213"/>
      <c r="AC213"/>
      <c r="AD213"/>
      <c r="AE213"/>
      <c r="AF213"/>
      <c r="AG213"/>
      <c r="AH213"/>
    </row>
    <row r="214" spans="1:34" s="30" customFormat="1" x14ac:dyDescent="0.3">
      <c r="A214" s="16">
        <v>210</v>
      </c>
      <c r="B214" s="17" t="s">
        <v>1095</v>
      </c>
      <c r="C214" s="18" t="s">
        <v>1096</v>
      </c>
      <c r="D214" s="19">
        <v>46017</v>
      </c>
      <c r="E214" s="28"/>
      <c r="F214" s="28"/>
      <c r="G214" s="20"/>
      <c r="H214" s="20"/>
      <c r="I214" s="21">
        <v>77.884399999999999</v>
      </c>
      <c r="J214" s="22">
        <f>ROUND(I214*H214,2)</f>
        <v>0</v>
      </c>
      <c r="K214" s="23" t="e">
        <f>ROUND(G214/J214,4)</f>
        <v>#DIV/0!</v>
      </c>
      <c r="L214" s="24" t="e">
        <f>1-K214</f>
        <v>#DIV/0!</v>
      </c>
      <c r="M214" s="25" t="s">
        <v>1097</v>
      </c>
      <c r="N214" s="25" t="s">
        <v>1098</v>
      </c>
      <c r="O214" s="26" t="s">
        <v>1099</v>
      </c>
      <c r="P214" s="27" t="s">
        <v>1100</v>
      </c>
      <c r="Q214" s="27" t="s">
        <v>25</v>
      </c>
      <c r="R214" s="21" t="s">
        <v>26</v>
      </c>
      <c r="S214" s="29">
        <v>183</v>
      </c>
      <c r="T214" s="1"/>
      <c r="W214"/>
      <c r="X214"/>
      <c r="Y214"/>
      <c r="Z214"/>
      <c r="AA214"/>
      <c r="AB214"/>
      <c r="AC214"/>
      <c r="AD214"/>
      <c r="AE214"/>
      <c r="AF214"/>
      <c r="AG214"/>
      <c r="AH214"/>
    </row>
    <row r="215" spans="1:34" s="30" customFormat="1" x14ac:dyDescent="0.3">
      <c r="A215" s="31">
        <v>211</v>
      </c>
      <c r="B215" s="32" t="s">
        <v>1101</v>
      </c>
      <c r="C215" s="33" t="s">
        <v>1102</v>
      </c>
      <c r="D215" s="19">
        <v>46017</v>
      </c>
      <c r="E215" s="28"/>
      <c r="F215" s="28"/>
      <c r="G215" s="20"/>
      <c r="H215" s="20"/>
      <c r="I215" s="21">
        <v>77.884399999999999</v>
      </c>
      <c r="J215" s="22">
        <f>ROUND(I215*H215,2)</f>
        <v>0</v>
      </c>
      <c r="K215" s="23" t="e">
        <f>ROUND(G215/J215,4)</f>
        <v>#DIV/0!</v>
      </c>
      <c r="L215" s="24" t="e">
        <f>1-K215</f>
        <v>#DIV/0!</v>
      </c>
      <c r="M215" s="25" t="s">
        <v>1103</v>
      </c>
      <c r="N215" s="25" t="s">
        <v>1104</v>
      </c>
      <c r="O215" s="26" t="s">
        <v>1105</v>
      </c>
      <c r="P215" s="27" t="s">
        <v>239</v>
      </c>
      <c r="Q215" s="27" t="s">
        <v>25</v>
      </c>
      <c r="R215" s="21" t="s">
        <v>39</v>
      </c>
      <c r="S215" s="29">
        <v>184</v>
      </c>
      <c r="T215" s="1"/>
    </row>
    <row r="216" spans="1:34" s="30" customFormat="1" x14ac:dyDescent="0.3">
      <c r="A216" s="16">
        <v>212</v>
      </c>
      <c r="B216" s="17" t="s">
        <v>1106</v>
      </c>
      <c r="C216" s="18" t="s">
        <v>1107</v>
      </c>
      <c r="D216" s="19">
        <v>46017</v>
      </c>
      <c r="E216" s="28"/>
      <c r="F216" s="28"/>
      <c r="G216" s="20"/>
      <c r="H216" s="20"/>
      <c r="I216" s="21">
        <v>77.884399999999999</v>
      </c>
      <c r="J216" s="22">
        <f>ROUND(I216*H216,2)</f>
        <v>0</v>
      </c>
      <c r="K216" s="23" t="e">
        <f>ROUND(G216/J216,4)</f>
        <v>#DIV/0!</v>
      </c>
      <c r="L216" s="24" t="e">
        <f>1-K216</f>
        <v>#DIV/0!</v>
      </c>
      <c r="M216" s="25" t="s">
        <v>1108</v>
      </c>
      <c r="N216" s="25" t="s">
        <v>1109</v>
      </c>
      <c r="O216" s="26" t="s">
        <v>1110</v>
      </c>
      <c r="P216" s="27" t="s">
        <v>74</v>
      </c>
      <c r="Q216" s="27" t="s">
        <v>25</v>
      </c>
      <c r="R216" s="64" t="s">
        <v>39</v>
      </c>
      <c r="S216" s="29">
        <v>185</v>
      </c>
      <c r="T216" s="1"/>
      <c r="W216"/>
      <c r="X216"/>
      <c r="Y216"/>
      <c r="Z216"/>
      <c r="AA216"/>
      <c r="AB216"/>
      <c r="AC216"/>
      <c r="AD216"/>
      <c r="AE216"/>
      <c r="AF216"/>
      <c r="AG216"/>
      <c r="AH216"/>
    </row>
    <row r="217" spans="1:34" s="30" customFormat="1" x14ac:dyDescent="0.3">
      <c r="A217" s="31">
        <v>213</v>
      </c>
      <c r="B217" s="26" t="s">
        <v>1111</v>
      </c>
      <c r="C217" s="27" t="s">
        <v>1112</v>
      </c>
      <c r="D217" s="19">
        <v>46017</v>
      </c>
      <c r="E217" s="28"/>
      <c r="F217" s="28"/>
      <c r="G217" s="20"/>
      <c r="H217" s="20"/>
      <c r="I217" s="21">
        <v>77.884399999999999</v>
      </c>
      <c r="J217" s="22">
        <f>ROUND(I217*H217,2)</f>
        <v>0</v>
      </c>
      <c r="K217" s="23" t="e">
        <f>ROUND(G217/J217,4)</f>
        <v>#DIV/0!</v>
      </c>
      <c r="L217" s="24" t="e">
        <f>1-K217</f>
        <v>#DIV/0!</v>
      </c>
      <c r="M217" s="25"/>
      <c r="N217" s="25"/>
      <c r="O217" s="26" t="s">
        <v>1113</v>
      </c>
      <c r="P217" s="27" t="s">
        <v>45</v>
      </c>
      <c r="Q217" s="27" t="s">
        <v>100</v>
      </c>
      <c r="R217" s="21" t="s">
        <v>26</v>
      </c>
      <c r="S217" s="29"/>
      <c r="T217" s="1"/>
      <c r="W217"/>
      <c r="X217"/>
      <c r="Y217"/>
      <c r="Z217"/>
      <c r="AA217"/>
      <c r="AB217"/>
      <c r="AC217"/>
      <c r="AD217"/>
      <c r="AE217"/>
      <c r="AF217"/>
      <c r="AG217"/>
      <c r="AH217"/>
    </row>
    <row r="218" spans="1:34" s="30" customFormat="1" x14ac:dyDescent="0.3">
      <c r="A218" s="16">
        <v>214</v>
      </c>
      <c r="B218" s="17" t="s">
        <v>1114</v>
      </c>
      <c r="C218" s="18" t="s">
        <v>1115</v>
      </c>
      <c r="D218" s="19">
        <v>46017</v>
      </c>
      <c r="E218" s="28"/>
      <c r="F218" s="28"/>
      <c r="G218" s="20"/>
      <c r="H218" s="20"/>
      <c r="I218" s="21">
        <v>77.884399999999999</v>
      </c>
      <c r="J218" s="22">
        <f>ROUND(I218*H218,2)</f>
        <v>0</v>
      </c>
      <c r="K218" s="23" t="e">
        <f>ROUND(G218/J218,4)</f>
        <v>#DIV/0!</v>
      </c>
      <c r="L218" s="24" t="e">
        <f>1-K218</f>
        <v>#DIV/0!</v>
      </c>
      <c r="M218" s="25" t="s">
        <v>1116</v>
      </c>
      <c r="N218" s="25" t="s">
        <v>1117</v>
      </c>
      <c r="O218" s="26" t="s">
        <v>1118</v>
      </c>
      <c r="P218" s="27" t="s">
        <v>319</v>
      </c>
      <c r="Q218" s="27" t="s">
        <v>25</v>
      </c>
      <c r="R218" s="21" t="s">
        <v>26</v>
      </c>
      <c r="S218" s="29">
        <v>186</v>
      </c>
      <c r="T218" s="1"/>
    </row>
    <row r="219" spans="1:34" s="30" customFormat="1" x14ac:dyDescent="0.3">
      <c r="A219" s="16">
        <v>215</v>
      </c>
      <c r="B219" s="17" t="s">
        <v>1119</v>
      </c>
      <c r="C219" s="18" t="s">
        <v>1120</v>
      </c>
      <c r="D219" s="19">
        <v>46017</v>
      </c>
      <c r="E219" s="28"/>
      <c r="F219" s="28"/>
      <c r="G219" s="20"/>
      <c r="H219" s="20"/>
      <c r="I219" s="21">
        <v>77.884399999999999</v>
      </c>
      <c r="J219" s="22">
        <f>ROUND(I219*H219,2)</f>
        <v>0</v>
      </c>
      <c r="K219" s="23" t="e">
        <f>ROUND(G219/J219,4)</f>
        <v>#DIV/0!</v>
      </c>
      <c r="L219" s="24" t="e">
        <f>1-K219</f>
        <v>#DIV/0!</v>
      </c>
      <c r="M219" s="25" t="s">
        <v>1121</v>
      </c>
      <c r="N219" s="25" t="s">
        <v>1122</v>
      </c>
      <c r="O219" s="26" t="s">
        <v>1123</v>
      </c>
      <c r="P219" s="27" t="s">
        <v>74</v>
      </c>
      <c r="Q219" s="27" t="s">
        <v>25</v>
      </c>
      <c r="R219" s="21" t="s">
        <v>39</v>
      </c>
      <c r="S219" s="29">
        <v>187</v>
      </c>
      <c r="T219" s="1"/>
      <c r="W219"/>
      <c r="X219"/>
      <c r="Y219"/>
      <c r="Z219"/>
      <c r="AA219"/>
      <c r="AB219"/>
      <c r="AC219"/>
      <c r="AD219"/>
      <c r="AE219"/>
      <c r="AF219"/>
      <c r="AG219"/>
      <c r="AH219"/>
    </row>
    <row r="220" spans="1:34" s="30" customFormat="1" x14ac:dyDescent="0.3">
      <c r="A220" s="16">
        <v>216</v>
      </c>
      <c r="B220" s="17" t="s">
        <v>1124</v>
      </c>
      <c r="C220" s="18" t="s">
        <v>1125</v>
      </c>
      <c r="D220" s="19">
        <v>46017</v>
      </c>
      <c r="E220" s="28"/>
      <c r="F220" s="28"/>
      <c r="G220" s="20"/>
      <c r="H220" s="20"/>
      <c r="I220" s="21">
        <v>77.884399999999999</v>
      </c>
      <c r="J220" s="22">
        <f>ROUND(I220*H220,2)</f>
        <v>0</v>
      </c>
      <c r="K220" s="23" t="e">
        <f>ROUND(G220/J220,4)</f>
        <v>#DIV/0!</v>
      </c>
      <c r="L220" s="24" t="e">
        <f>1-K220</f>
        <v>#DIV/0!</v>
      </c>
      <c r="M220" s="25" t="s">
        <v>1126</v>
      </c>
      <c r="N220" s="25" t="s">
        <v>1127</v>
      </c>
      <c r="O220" s="26" t="s">
        <v>1128</v>
      </c>
      <c r="P220" s="27" t="s">
        <v>319</v>
      </c>
      <c r="Q220" s="27" t="s">
        <v>25</v>
      </c>
      <c r="R220" s="21" t="s">
        <v>39</v>
      </c>
      <c r="S220" s="29">
        <v>188</v>
      </c>
      <c r="T220" s="1"/>
    </row>
    <row r="221" spans="1:34" s="46" customFormat="1" x14ac:dyDescent="0.3">
      <c r="A221" s="16">
        <v>217</v>
      </c>
      <c r="B221" s="17" t="s">
        <v>1129</v>
      </c>
      <c r="C221" s="18" t="s">
        <v>1130</v>
      </c>
      <c r="D221" s="19">
        <v>46017</v>
      </c>
      <c r="E221" s="28"/>
      <c r="F221" s="28"/>
      <c r="G221" s="20"/>
      <c r="H221" s="20"/>
      <c r="I221" s="21">
        <v>77.884399999999999</v>
      </c>
      <c r="J221" s="22">
        <f>ROUND(I221*H221,2)</f>
        <v>0</v>
      </c>
      <c r="K221" s="23" t="e">
        <f>ROUND(G221/J221,4)</f>
        <v>#DIV/0!</v>
      </c>
      <c r="L221" s="24" t="e">
        <f>1-K221</f>
        <v>#DIV/0!</v>
      </c>
      <c r="M221" s="25" t="s">
        <v>1131</v>
      </c>
      <c r="N221" s="25" t="s">
        <v>1132</v>
      </c>
      <c r="O221" s="26" t="s">
        <v>1133</v>
      </c>
      <c r="P221" s="27" t="s">
        <v>68</v>
      </c>
      <c r="Q221" s="27" t="s">
        <v>25</v>
      </c>
      <c r="R221" s="21" t="s">
        <v>39</v>
      </c>
      <c r="S221" s="29">
        <v>189</v>
      </c>
      <c r="T221" s="1"/>
      <c r="U221" s="30"/>
      <c r="V221" s="30"/>
      <c r="W221"/>
      <c r="X221"/>
      <c r="Y221"/>
      <c r="Z221"/>
      <c r="AA221"/>
      <c r="AB221"/>
      <c r="AC221"/>
      <c r="AD221"/>
      <c r="AE221"/>
      <c r="AF221"/>
      <c r="AG221"/>
      <c r="AH221"/>
    </row>
    <row r="222" spans="1:34" s="46" customFormat="1" x14ac:dyDescent="0.3">
      <c r="A222" s="16">
        <v>218</v>
      </c>
      <c r="B222" s="17" t="s">
        <v>1134</v>
      </c>
      <c r="C222" s="18" t="s">
        <v>1135</v>
      </c>
      <c r="D222" s="19">
        <v>46017</v>
      </c>
      <c r="E222" s="48"/>
      <c r="F222" s="48"/>
      <c r="G222" s="20"/>
      <c r="H222" s="20"/>
      <c r="I222" s="21">
        <v>77.884399999999999</v>
      </c>
      <c r="J222" s="22">
        <f>ROUND(I222*H222,2)</f>
        <v>0</v>
      </c>
      <c r="K222" s="23" t="e">
        <f>ROUND(G222/J222,4)</f>
        <v>#DIV/0!</v>
      </c>
      <c r="L222" s="24" t="e">
        <f>1-K222</f>
        <v>#DIV/0!</v>
      </c>
      <c r="M222" s="25" t="s">
        <v>1136</v>
      </c>
      <c r="N222" s="25" t="s">
        <v>1137</v>
      </c>
      <c r="O222" s="26" t="s">
        <v>1138</v>
      </c>
      <c r="P222" s="27" t="s">
        <v>32</v>
      </c>
      <c r="Q222" s="27" t="s">
        <v>25</v>
      </c>
      <c r="R222" s="21" t="s">
        <v>26</v>
      </c>
      <c r="S222" s="29">
        <v>190</v>
      </c>
      <c r="T222" s="1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 spans="1:34" s="30" customFormat="1" x14ac:dyDescent="0.3">
      <c r="A223" s="31">
        <v>219</v>
      </c>
      <c r="B223" s="26" t="s">
        <v>1139</v>
      </c>
      <c r="C223" s="27" t="s">
        <v>1140</v>
      </c>
      <c r="D223" s="19">
        <v>46017</v>
      </c>
      <c r="E223" s="48"/>
      <c r="F223" s="48"/>
      <c r="G223" s="20"/>
      <c r="H223" s="20"/>
      <c r="I223" s="21">
        <v>77.884399999999999</v>
      </c>
      <c r="J223" s="22">
        <f>ROUND(I223*H223,2)</f>
        <v>0</v>
      </c>
      <c r="K223" s="23" t="e">
        <f>ROUND(G223/J223,4)</f>
        <v>#DIV/0!</v>
      </c>
      <c r="L223" s="24" t="e">
        <f>1-K223</f>
        <v>#DIV/0!</v>
      </c>
      <c r="M223" s="25"/>
      <c r="N223" s="25"/>
      <c r="O223" s="26" t="s">
        <v>1141</v>
      </c>
      <c r="P223" s="27" t="s">
        <v>1142</v>
      </c>
      <c r="Q223" s="27" t="s">
        <v>25</v>
      </c>
      <c r="R223" s="64" t="s">
        <v>26</v>
      </c>
      <c r="S223" s="29"/>
      <c r="T223" s="1"/>
      <c r="U223" s="46"/>
      <c r="V223" s="46"/>
      <c r="W223"/>
      <c r="X223"/>
      <c r="Y223"/>
      <c r="Z223"/>
      <c r="AA223"/>
      <c r="AB223"/>
      <c r="AC223"/>
      <c r="AD223"/>
      <c r="AE223"/>
      <c r="AF223"/>
      <c r="AG223"/>
      <c r="AH223"/>
    </row>
    <row r="224" spans="1:34" s="30" customFormat="1" x14ac:dyDescent="0.3">
      <c r="A224" s="16">
        <v>220</v>
      </c>
      <c r="B224" s="17" t="s">
        <v>1143</v>
      </c>
      <c r="C224" s="18" t="s">
        <v>1144</v>
      </c>
      <c r="D224" s="19">
        <v>46017</v>
      </c>
      <c r="E224" s="28"/>
      <c r="F224" s="28"/>
      <c r="G224" s="20"/>
      <c r="H224" s="20"/>
      <c r="I224" s="21">
        <v>77.884399999999999</v>
      </c>
      <c r="J224" s="22">
        <f>ROUND(I224*H224,2)</f>
        <v>0</v>
      </c>
      <c r="K224" s="23" t="e">
        <f>ROUND(G224/J224,4)</f>
        <v>#DIV/0!</v>
      </c>
      <c r="L224" s="24" t="e">
        <f>1-K224</f>
        <v>#DIV/0!</v>
      </c>
      <c r="M224" s="25" t="s">
        <v>1145</v>
      </c>
      <c r="N224" s="25" t="s">
        <v>1146</v>
      </c>
      <c r="O224" s="26" t="s">
        <v>1147</v>
      </c>
      <c r="P224" s="27" t="s">
        <v>1148</v>
      </c>
      <c r="Q224" s="27" t="s">
        <v>25</v>
      </c>
      <c r="R224" s="21" t="s">
        <v>26</v>
      </c>
      <c r="S224" s="29">
        <v>191</v>
      </c>
      <c r="T224" s="1"/>
      <c r="W224"/>
      <c r="X224"/>
      <c r="Y224"/>
      <c r="Z224"/>
      <c r="AA224"/>
      <c r="AB224"/>
      <c r="AC224"/>
      <c r="AD224"/>
      <c r="AE224"/>
      <c r="AF224"/>
      <c r="AG224"/>
      <c r="AH224"/>
    </row>
    <row r="225" spans="1:34" s="30" customFormat="1" x14ac:dyDescent="0.3">
      <c r="A225" s="16">
        <v>221</v>
      </c>
      <c r="B225" s="17" t="s">
        <v>1149</v>
      </c>
      <c r="C225" s="34" t="s">
        <v>1150</v>
      </c>
      <c r="D225" s="19">
        <v>46017</v>
      </c>
      <c r="E225" s="28"/>
      <c r="F225" s="28"/>
      <c r="G225" s="20"/>
      <c r="H225" s="20"/>
      <c r="I225" s="21">
        <v>77.884399999999999</v>
      </c>
      <c r="J225" s="22">
        <f>ROUND(I225*H225,2)</f>
        <v>0</v>
      </c>
      <c r="K225" s="23" t="e">
        <f>ROUND(G225/J225,4)</f>
        <v>#DIV/0!</v>
      </c>
      <c r="L225" s="24" t="e">
        <f>1-K225</f>
        <v>#DIV/0!</v>
      </c>
      <c r="M225" s="25" t="s">
        <v>1151</v>
      </c>
      <c r="N225" s="25" t="s">
        <v>1152</v>
      </c>
      <c r="O225" s="26" t="s">
        <v>1153</v>
      </c>
      <c r="P225" s="27" t="s">
        <v>918</v>
      </c>
      <c r="Q225" s="27" t="s">
        <v>25</v>
      </c>
      <c r="R225" s="21" t="s">
        <v>26</v>
      </c>
      <c r="S225" s="29">
        <v>192</v>
      </c>
      <c r="T225" s="1"/>
      <c r="W225"/>
      <c r="X225"/>
      <c r="Y225"/>
      <c r="Z225"/>
      <c r="AA225"/>
      <c r="AB225"/>
      <c r="AC225"/>
      <c r="AD225"/>
      <c r="AE225"/>
      <c r="AF225"/>
      <c r="AG225"/>
      <c r="AH225"/>
    </row>
    <row r="226" spans="1:34" s="30" customFormat="1" x14ac:dyDescent="0.3">
      <c r="A226" s="16">
        <v>222</v>
      </c>
      <c r="B226" s="17" t="s">
        <v>1154</v>
      </c>
      <c r="C226" s="18" t="s">
        <v>1155</v>
      </c>
      <c r="D226" s="19">
        <v>46017</v>
      </c>
      <c r="E226" s="28"/>
      <c r="F226" s="28"/>
      <c r="G226" s="20"/>
      <c r="H226" s="20"/>
      <c r="I226" s="21">
        <v>77.884399999999999</v>
      </c>
      <c r="J226" s="22">
        <f>ROUND(I226*H226,2)</f>
        <v>0</v>
      </c>
      <c r="K226" s="23" t="e">
        <f>ROUND(G226/J226,4)</f>
        <v>#DIV/0!</v>
      </c>
      <c r="L226" s="24" t="e">
        <f>1-K226</f>
        <v>#DIV/0!</v>
      </c>
      <c r="M226" s="25" t="s">
        <v>1156</v>
      </c>
      <c r="N226" s="25" t="s">
        <v>1157</v>
      </c>
      <c r="O226" s="26" t="s">
        <v>1158</v>
      </c>
      <c r="P226" s="27" t="s">
        <v>32</v>
      </c>
      <c r="Q226" s="27" t="s">
        <v>25</v>
      </c>
      <c r="R226" s="21" t="s">
        <v>26</v>
      </c>
      <c r="S226" s="29">
        <v>193</v>
      </c>
      <c r="T226" s="1"/>
    </row>
    <row r="227" spans="1:34" s="46" customFormat="1" x14ac:dyDescent="0.3">
      <c r="A227" s="16">
        <v>223</v>
      </c>
      <c r="B227" s="17" t="s">
        <v>1159</v>
      </c>
      <c r="C227" s="18" t="s">
        <v>1160</v>
      </c>
      <c r="D227" s="19">
        <v>46017</v>
      </c>
      <c r="E227" s="28"/>
      <c r="F227" s="28"/>
      <c r="G227" s="20"/>
      <c r="H227" s="20"/>
      <c r="I227" s="21">
        <v>77.884399999999999</v>
      </c>
      <c r="J227" s="22">
        <f>ROUND(I227*H227,2)</f>
        <v>0</v>
      </c>
      <c r="K227" s="23" t="e">
        <f>ROUND(G227/J227,4)</f>
        <v>#DIV/0!</v>
      </c>
      <c r="L227" s="24" t="e">
        <f>1-K227</f>
        <v>#DIV/0!</v>
      </c>
      <c r="M227" s="25" t="s">
        <v>1161</v>
      </c>
      <c r="N227" s="25" t="s">
        <v>1162</v>
      </c>
      <c r="O227" s="26" t="s">
        <v>1163</v>
      </c>
      <c r="P227" s="27" t="s">
        <v>1048</v>
      </c>
      <c r="Q227" s="27" t="s">
        <v>25</v>
      </c>
      <c r="R227" s="21" t="s">
        <v>26</v>
      </c>
      <c r="S227" s="29">
        <v>194</v>
      </c>
      <c r="T227" s="1"/>
      <c r="U227" s="30"/>
      <c r="V227" s="30"/>
      <c r="W227"/>
      <c r="X227"/>
      <c r="Y227"/>
      <c r="Z227"/>
      <c r="AA227"/>
      <c r="AB227"/>
      <c r="AC227"/>
      <c r="AD227"/>
      <c r="AE227"/>
      <c r="AF227"/>
      <c r="AG227"/>
      <c r="AH227"/>
    </row>
    <row r="228" spans="1:34" s="46" customFormat="1" x14ac:dyDescent="0.3">
      <c r="A228" s="16">
        <v>224</v>
      </c>
      <c r="B228" s="17" t="s">
        <v>1164</v>
      </c>
      <c r="C228" s="18" t="s">
        <v>1165</v>
      </c>
      <c r="D228" s="19">
        <v>46017</v>
      </c>
      <c r="E228" s="48"/>
      <c r="F228" s="48"/>
      <c r="G228" s="20"/>
      <c r="H228" s="20"/>
      <c r="I228" s="21">
        <v>77.884399999999999</v>
      </c>
      <c r="J228" s="22">
        <f>ROUND(I228*H228,2)</f>
        <v>0</v>
      </c>
      <c r="K228" s="23" t="e">
        <f>ROUND(G228/J228,4)</f>
        <v>#DIV/0!</v>
      </c>
      <c r="L228" s="24" t="e">
        <f>1-K228</f>
        <v>#DIV/0!</v>
      </c>
      <c r="M228" s="25" t="s">
        <v>1166</v>
      </c>
      <c r="N228" s="25" t="s">
        <v>1167</v>
      </c>
      <c r="O228" s="26" t="s">
        <v>1168</v>
      </c>
      <c r="P228" s="27" t="s">
        <v>1048</v>
      </c>
      <c r="Q228" s="27" t="s">
        <v>25</v>
      </c>
      <c r="R228" s="21" t="s">
        <v>39</v>
      </c>
      <c r="S228" s="29">
        <v>195</v>
      </c>
      <c r="T228" s="1"/>
      <c r="W228"/>
      <c r="X228"/>
      <c r="Y228"/>
      <c r="Z228"/>
      <c r="AA228"/>
      <c r="AB228"/>
      <c r="AC228"/>
      <c r="AD228"/>
      <c r="AE228"/>
      <c r="AF228"/>
      <c r="AG228"/>
      <c r="AH228"/>
    </row>
    <row r="229" spans="1:34" s="30" customFormat="1" x14ac:dyDescent="0.3">
      <c r="A229" s="16">
        <v>225</v>
      </c>
      <c r="B229" s="17" t="s">
        <v>1169</v>
      </c>
      <c r="C229" s="18" t="s">
        <v>1170</v>
      </c>
      <c r="D229" s="19">
        <v>46017</v>
      </c>
      <c r="E229" s="48"/>
      <c r="F229" s="48"/>
      <c r="G229" s="20"/>
      <c r="H229" s="20"/>
      <c r="I229" s="21">
        <v>77.884399999999999</v>
      </c>
      <c r="J229" s="22">
        <f>ROUND(I229*H229,2)</f>
        <v>0</v>
      </c>
      <c r="K229" s="23" t="e">
        <f>ROUND(G229/J229,4)</f>
        <v>#DIV/0!</v>
      </c>
      <c r="L229" s="24" t="e">
        <f>1-K229</f>
        <v>#DIV/0!</v>
      </c>
      <c r="M229" s="25" t="s">
        <v>1171</v>
      </c>
      <c r="N229" s="25" t="s">
        <v>1172</v>
      </c>
      <c r="O229" s="26" t="s">
        <v>1173</v>
      </c>
      <c r="P229" s="27" t="s">
        <v>174</v>
      </c>
      <c r="Q229" s="27" t="s">
        <v>25</v>
      </c>
      <c r="R229" s="21" t="s">
        <v>39</v>
      </c>
      <c r="S229" s="29">
        <v>196</v>
      </c>
      <c r="T229" s="1"/>
      <c r="U229" s="46"/>
      <c r="V229" s="46"/>
    </row>
    <row r="230" spans="1:34" s="30" customFormat="1" x14ac:dyDescent="0.3">
      <c r="A230" s="16">
        <v>226</v>
      </c>
      <c r="B230" s="17" t="s">
        <v>1174</v>
      </c>
      <c r="C230" s="18" t="s">
        <v>1175</v>
      </c>
      <c r="D230" s="19">
        <v>46017</v>
      </c>
      <c r="E230" s="28"/>
      <c r="F230" s="28"/>
      <c r="G230" s="20"/>
      <c r="H230" s="20"/>
      <c r="I230" s="21">
        <v>77.884399999999999</v>
      </c>
      <c r="J230" s="22">
        <f>ROUND(I230*H230,2)</f>
        <v>0</v>
      </c>
      <c r="K230" s="23" t="e">
        <f>ROUND(G230/J230,4)</f>
        <v>#DIV/0!</v>
      </c>
      <c r="L230" s="24" t="e">
        <f>1-K230</f>
        <v>#DIV/0!</v>
      </c>
      <c r="M230" s="25" t="s">
        <v>1176</v>
      </c>
      <c r="N230" s="25" t="s">
        <v>1177</v>
      </c>
      <c r="O230" s="26" t="s">
        <v>1178</v>
      </c>
      <c r="P230" s="27" t="s">
        <v>345</v>
      </c>
      <c r="Q230" s="27" t="s">
        <v>25</v>
      </c>
      <c r="R230" s="64" t="s">
        <v>39</v>
      </c>
      <c r="S230" s="29">
        <v>197</v>
      </c>
      <c r="T230" s="1"/>
      <c r="W230"/>
      <c r="X230"/>
      <c r="Y230"/>
      <c r="Z230"/>
      <c r="AA230"/>
      <c r="AB230"/>
      <c r="AC230"/>
      <c r="AD230"/>
      <c r="AE230"/>
      <c r="AF230"/>
      <c r="AG230"/>
      <c r="AH230"/>
    </row>
    <row r="231" spans="1:34" s="30" customFormat="1" x14ac:dyDescent="0.3">
      <c r="A231" s="16">
        <v>227</v>
      </c>
      <c r="B231" s="17" t="s">
        <v>1179</v>
      </c>
      <c r="C231" s="18" t="s">
        <v>1180</v>
      </c>
      <c r="D231" s="19">
        <v>46017</v>
      </c>
      <c r="E231" s="28"/>
      <c r="F231" s="28"/>
      <c r="G231" s="20"/>
      <c r="H231" s="20"/>
      <c r="I231" s="21">
        <v>77.884399999999999</v>
      </c>
      <c r="J231" s="22">
        <f>ROUND(I231*H231,2)</f>
        <v>0</v>
      </c>
      <c r="K231" s="23" t="e">
        <f>ROUND(G231/J231,4)</f>
        <v>#DIV/0!</v>
      </c>
      <c r="L231" s="24" t="e">
        <f>1-K231</f>
        <v>#DIV/0!</v>
      </c>
      <c r="M231" s="25" t="s">
        <v>1181</v>
      </c>
      <c r="N231" s="25" t="s">
        <v>1182</v>
      </c>
      <c r="O231" s="26" t="s">
        <v>1183</v>
      </c>
      <c r="P231" s="27" t="s">
        <v>502</v>
      </c>
      <c r="Q231" s="27" t="s">
        <v>25</v>
      </c>
      <c r="R231" s="21" t="s">
        <v>39</v>
      </c>
      <c r="S231" s="29">
        <v>198</v>
      </c>
      <c r="T231" s="1"/>
      <c r="W231"/>
      <c r="X231"/>
      <c r="Y231"/>
      <c r="Z231"/>
      <c r="AA231"/>
      <c r="AB231"/>
      <c r="AC231"/>
      <c r="AD231"/>
      <c r="AE231"/>
      <c r="AF231"/>
      <c r="AG231"/>
      <c r="AH231"/>
    </row>
    <row r="232" spans="1:34" x14ac:dyDescent="0.3">
      <c r="A232" s="16">
        <v>228</v>
      </c>
      <c r="B232" s="17" t="s">
        <v>1184</v>
      </c>
      <c r="C232" s="18" t="s">
        <v>1185</v>
      </c>
      <c r="D232" s="19">
        <v>46017</v>
      </c>
      <c r="E232" s="28"/>
      <c r="F232" s="28"/>
      <c r="G232" s="20"/>
      <c r="H232" s="20"/>
      <c r="I232" s="21">
        <v>77.884399999999999</v>
      </c>
      <c r="J232" s="22">
        <f>ROUND(I232*H232,2)</f>
        <v>0</v>
      </c>
      <c r="K232" s="23" t="e">
        <f>ROUND(G232/J232,4)</f>
        <v>#DIV/0!</v>
      </c>
      <c r="L232" s="24" t="e">
        <f>1-K232</f>
        <v>#DIV/0!</v>
      </c>
      <c r="M232" s="25" t="s">
        <v>1186</v>
      </c>
      <c r="N232" s="25" t="s">
        <v>1187</v>
      </c>
      <c r="O232" s="26" t="s">
        <v>1188</v>
      </c>
      <c r="P232" s="27" t="s">
        <v>38</v>
      </c>
      <c r="Q232" s="27" t="s">
        <v>25</v>
      </c>
      <c r="R232" s="21" t="s">
        <v>39</v>
      </c>
      <c r="S232" s="29">
        <v>199</v>
      </c>
      <c r="T232" s="1"/>
      <c r="U232" s="30"/>
      <c r="V232" s="30"/>
    </row>
    <row r="233" spans="1:34" x14ac:dyDescent="0.3">
      <c r="A233" s="16">
        <v>229</v>
      </c>
      <c r="B233" s="17" t="s">
        <v>1189</v>
      </c>
      <c r="C233" s="18" t="s">
        <v>1190</v>
      </c>
      <c r="D233" s="19">
        <v>46017</v>
      </c>
      <c r="E233" s="49"/>
      <c r="F233" s="49"/>
      <c r="G233" s="20"/>
      <c r="H233" s="20"/>
      <c r="I233" s="21">
        <v>77.884399999999999</v>
      </c>
      <c r="J233" s="22">
        <f>ROUND(I233*H233,2)</f>
        <v>0</v>
      </c>
      <c r="K233" s="23" t="e">
        <f>ROUND(G233/J233,4)</f>
        <v>#DIV/0!</v>
      </c>
      <c r="L233" s="24" t="e">
        <f>1-K233</f>
        <v>#DIV/0!</v>
      </c>
      <c r="M233" s="25" t="s">
        <v>1191</v>
      </c>
      <c r="N233" s="25" t="s">
        <v>1192</v>
      </c>
      <c r="O233" s="26" t="s">
        <v>1193</v>
      </c>
      <c r="P233" s="27" t="s">
        <v>134</v>
      </c>
      <c r="Q233" s="27" t="s">
        <v>25</v>
      </c>
      <c r="R233" s="64" t="s">
        <v>39</v>
      </c>
      <c r="S233" s="29">
        <v>200</v>
      </c>
      <c r="T233" s="1"/>
    </row>
    <row r="234" spans="1:34" x14ac:dyDescent="0.3">
      <c r="A234" s="16">
        <v>230</v>
      </c>
      <c r="B234" s="17" t="s">
        <v>1194</v>
      </c>
      <c r="C234" s="18" t="s">
        <v>1195</v>
      </c>
      <c r="D234" s="19">
        <v>46017</v>
      </c>
      <c r="E234" s="49"/>
      <c r="F234" s="49"/>
      <c r="G234" s="20"/>
      <c r="H234" s="20"/>
      <c r="I234" s="21">
        <v>77.884399999999999</v>
      </c>
      <c r="J234" s="22">
        <f>ROUND(I234*H234,2)</f>
        <v>0</v>
      </c>
      <c r="K234" s="23" t="e">
        <f>ROUND(G234/J234,4)</f>
        <v>#DIV/0!</v>
      </c>
      <c r="L234" s="24" t="e">
        <f>1-K234</f>
        <v>#DIV/0!</v>
      </c>
      <c r="M234" s="25" t="s">
        <v>1196</v>
      </c>
      <c r="N234" s="25" t="s">
        <v>1197</v>
      </c>
      <c r="O234" s="26" t="s">
        <v>1198</v>
      </c>
      <c r="P234" s="27" t="s">
        <v>32</v>
      </c>
      <c r="Q234" s="27" t="s">
        <v>25</v>
      </c>
      <c r="R234" s="21" t="s">
        <v>39</v>
      </c>
      <c r="S234" s="29">
        <v>201</v>
      </c>
      <c r="T234" s="1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 spans="1:34" x14ac:dyDescent="0.3">
      <c r="A235" s="16">
        <v>231</v>
      </c>
      <c r="B235" s="17" t="s">
        <v>1199</v>
      </c>
      <c r="C235" s="18" t="s">
        <v>1200</v>
      </c>
      <c r="D235" s="19">
        <v>46017</v>
      </c>
      <c r="E235" s="49"/>
      <c r="F235" s="49"/>
      <c r="G235" s="20"/>
      <c r="H235" s="20"/>
      <c r="I235" s="21">
        <v>77.884399999999999</v>
      </c>
      <c r="J235" s="22">
        <f>ROUND(I235*H235,2)</f>
        <v>0</v>
      </c>
      <c r="K235" s="23" t="e">
        <f>ROUND(G235/J235,4)</f>
        <v>#DIV/0!</v>
      </c>
      <c r="L235" s="24" t="e">
        <f>1-K235</f>
        <v>#DIV/0!</v>
      </c>
      <c r="M235" s="25" t="s">
        <v>1201</v>
      </c>
      <c r="N235" s="25" t="s">
        <v>1202</v>
      </c>
      <c r="O235" s="26" t="s">
        <v>1203</v>
      </c>
      <c r="P235" s="27" t="s">
        <v>95</v>
      </c>
      <c r="Q235" s="27" t="s">
        <v>25</v>
      </c>
      <c r="R235" s="21" t="s">
        <v>26</v>
      </c>
      <c r="S235" s="29">
        <v>202</v>
      </c>
      <c r="T235" s="1"/>
    </row>
    <row r="236" spans="1:34" x14ac:dyDescent="0.3">
      <c r="A236" s="31">
        <v>232</v>
      </c>
      <c r="B236" s="32" t="s">
        <v>1204</v>
      </c>
      <c r="C236" s="33" t="s">
        <v>1205</v>
      </c>
      <c r="D236" s="19">
        <v>46017</v>
      </c>
      <c r="E236" s="49"/>
      <c r="F236" s="49"/>
      <c r="G236" s="20"/>
      <c r="H236" s="20"/>
      <c r="I236" s="21">
        <v>77.884399999999999</v>
      </c>
      <c r="J236" s="22">
        <f>ROUND(I236*H236,2)</f>
        <v>0</v>
      </c>
      <c r="K236" s="23" t="e">
        <f>ROUND(G236/J236,4)</f>
        <v>#DIV/0!</v>
      </c>
      <c r="L236" s="24" t="e">
        <f>1-K236</f>
        <v>#DIV/0!</v>
      </c>
      <c r="M236" s="25" t="s">
        <v>1206</v>
      </c>
      <c r="N236" s="25" t="s">
        <v>1207</v>
      </c>
      <c r="O236" s="26" t="s">
        <v>1208</v>
      </c>
      <c r="P236" s="27" t="s">
        <v>1209</v>
      </c>
      <c r="Q236" s="27" t="s">
        <v>25</v>
      </c>
      <c r="R236" s="21" t="s">
        <v>26</v>
      </c>
      <c r="S236" s="29">
        <v>203</v>
      </c>
      <c r="T236" s="1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 spans="1:34" x14ac:dyDescent="0.3">
      <c r="A237" s="16">
        <v>233</v>
      </c>
      <c r="B237" s="17" t="s">
        <v>1210</v>
      </c>
      <c r="C237" s="18" t="s">
        <v>1211</v>
      </c>
      <c r="D237" s="19">
        <v>46017</v>
      </c>
      <c r="E237" s="49"/>
      <c r="F237" s="49"/>
      <c r="G237" s="20"/>
      <c r="H237" s="20"/>
      <c r="I237" s="21">
        <v>77.884399999999999</v>
      </c>
      <c r="J237" s="22">
        <f>ROUND(I237*H237,2)</f>
        <v>0</v>
      </c>
      <c r="K237" s="23" t="e">
        <f>ROUND(G237/J237,4)</f>
        <v>#DIV/0!</v>
      </c>
      <c r="L237" s="24" t="e">
        <f>1-K237</f>
        <v>#DIV/0!</v>
      </c>
      <c r="M237" s="25" t="s">
        <v>1212</v>
      </c>
      <c r="N237" s="25" t="s">
        <v>1213</v>
      </c>
      <c r="O237" s="26" t="s">
        <v>1214</v>
      </c>
      <c r="P237" s="27" t="s">
        <v>174</v>
      </c>
      <c r="Q237" s="27" t="s">
        <v>25</v>
      </c>
      <c r="R237" s="21" t="s">
        <v>26</v>
      </c>
      <c r="S237" s="29">
        <v>204</v>
      </c>
      <c r="T237" s="1"/>
    </row>
    <row r="238" spans="1:34" x14ac:dyDescent="0.3">
      <c r="A238" s="16">
        <v>234</v>
      </c>
      <c r="B238" s="17" t="s">
        <v>1215</v>
      </c>
      <c r="C238" s="18" t="s">
        <v>1216</v>
      </c>
      <c r="D238" s="19">
        <v>46017</v>
      </c>
      <c r="E238" s="49"/>
      <c r="F238" s="49"/>
      <c r="G238" s="20"/>
      <c r="H238" s="20"/>
      <c r="I238" s="21">
        <v>77.884399999999999</v>
      </c>
      <c r="J238" s="22">
        <f>ROUND(I238*H238,2)</f>
        <v>0</v>
      </c>
      <c r="K238" s="23" t="e">
        <f>ROUND(G238/J238,4)</f>
        <v>#DIV/0!</v>
      </c>
      <c r="L238" s="24" t="e">
        <f>1-K238</f>
        <v>#DIV/0!</v>
      </c>
      <c r="M238" s="25" t="s">
        <v>1217</v>
      </c>
      <c r="N238" s="25" t="s">
        <v>1218</v>
      </c>
      <c r="O238" s="26" t="s">
        <v>1219</v>
      </c>
      <c r="P238" s="27" t="s">
        <v>134</v>
      </c>
      <c r="Q238" s="27" t="s">
        <v>25</v>
      </c>
      <c r="R238" s="21" t="s">
        <v>39</v>
      </c>
      <c r="S238" s="29">
        <v>205</v>
      </c>
      <c r="T238" s="1"/>
    </row>
    <row r="239" spans="1:34" x14ac:dyDescent="0.3">
      <c r="A239" s="16">
        <v>235</v>
      </c>
      <c r="B239" s="17" t="s">
        <v>1220</v>
      </c>
      <c r="C239" s="18" t="s">
        <v>1221</v>
      </c>
      <c r="D239" s="19">
        <v>46017</v>
      </c>
      <c r="E239" s="49"/>
      <c r="F239" s="49"/>
      <c r="G239" s="20"/>
      <c r="H239" s="20"/>
      <c r="I239" s="21">
        <v>77.884399999999999</v>
      </c>
      <c r="J239" s="22">
        <f>ROUND(I239*H239,2)</f>
        <v>0</v>
      </c>
      <c r="K239" s="23" t="e">
        <f>ROUND(G239/J239,4)</f>
        <v>#DIV/0!</v>
      </c>
      <c r="L239" s="24" t="e">
        <f>1-K239</f>
        <v>#DIV/0!</v>
      </c>
      <c r="M239" s="25" t="s">
        <v>1222</v>
      </c>
      <c r="N239" s="25" t="s">
        <v>1223</v>
      </c>
      <c r="O239" s="26" t="s">
        <v>1224</v>
      </c>
      <c r="P239" s="27" t="s">
        <v>32</v>
      </c>
      <c r="Q239" s="27" t="s">
        <v>25</v>
      </c>
      <c r="R239" s="64" t="s">
        <v>39</v>
      </c>
      <c r="S239" s="29">
        <v>206</v>
      </c>
      <c r="T239" s="1"/>
    </row>
    <row r="240" spans="1:34" x14ac:dyDescent="0.3">
      <c r="A240" s="16">
        <v>236</v>
      </c>
      <c r="B240" s="17" t="s">
        <v>1225</v>
      </c>
      <c r="C240" s="18" t="s">
        <v>1226</v>
      </c>
      <c r="D240" s="19">
        <v>46017</v>
      </c>
      <c r="E240" s="49"/>
      <c r="F240" s="49"/>
      <c r="G240" s="20"/>
      <c r="H240" s="20"/>
      <c r="I240" s="21">
        <v>77.884399999999999</v>
      </c>
      <c r="J240" s="22">
        <f>ROUND(I240*H240,2)</f>
        <v>0</v>
      </c>
      <c r="K240" s="23" t="e">
        <f>ROUND(G240/J240,4)</f>
        <v>#DIV/0!</v>
      </c>
      <c r="L240" s="24" t="e">
        <f>1-K240</f>
        <v>#DIV/0!</v>
      </c>
      <c r="M240" s="25" t="s">
        <v>1227</v>
      </c>
      <c r="N240" s="25" t="s">
        <v>1228</v>
      </c>
      <c r="O240" s="26" t="s">
        <v>1229</v>
      </c>
      <c r="P240" s="27" t="s">
        <v>32</v>
      </c>
      <c r="Q240" s="27" t="s">
        <v>25</v>
      </c>
      <c r="R240" s="21" t="s">
        <v>26</v>
      </c>
      <c r="S240" s="29">
        <v>207</v>
      </c>
      <c r="T240" s="1"/>
    </row>
    <row r="241" spans="1:34" x14ac:dyDescent="0.3">
      <c r="A241" s="31">
        <v>237</v>
      </c>
      <c r="B241" s="26" t="s">
        <v>1230</v>
      </c>
      <c r="C241" s="27" t="s">
        <v>1231</v>
      </c>
      <c r="D241" s="19">
        <v>46017</v>
      </c>
      <c r="E241" s="49"/>
      <c r="F241" s="49"/>
      <c r="G241" s="20"/>
      <c r="H241" s="20"/>
      <c r="I241" s="21">
        <v>77.884399999999999</v>
      </c>
      <c r="J241" s="22">
        <f>ROUND(I241*H241,2)</f>
        <v>0</v>
      </c>
      <c r="K241" s="23" t="e">
        <f>ROUND(G241/J241,4)</f>
        <v>#DIV/0!</v>
      </c>
      <c r="L241" s="24" t="e">
        <f>1-K241</f>
        <v>#DIV/0!</v>
      </c>
      <c r="M241" s="25"/>
      <c r="N241" s="25"/>
      <c r="O241" s="26" t="s">
        <v>1232</v>
      </c>
      <c r="P241" s="27" t="s">
        <v>174</v>
      </c>
      <c r="Q241" s="27" t="s">
        <v>100</v>
      </c>
      <c r="R241" s="21" t="s">
        <v>26</v>
      </c>
      <c r="S241" s="29"/>
      <c r="T241" s="1"/>
    </row>
    <row r="242" spans="1:34" x14ac:dyDescent="0.3">
      <c r="A242" s="16">
        <v>238</v>
      </c>
      <c r="B242" s="17" t="s">
        <v>1233</v>
      </c>
      <c r="C242" s="34" t="s">
        <v>1234</v>
      </c>
      <c r="D242" s="19">
        <v>46017</v>
      </c>
      <c r="E242" s="49"/>
      <c r="F242" s="49"/>
      <c r="G242" s="20"/>
      <c r="H242" s="20"/>
      <c r="I242" s="21">
        <v>77.884399999999999</v>
      </c>
      <c r="J242" s="22">
        <f>ROUND(I242*H242,2)</f>
        <v>0</v>
      </c>
      <c r="K242" s="23" t="e">
        <f>ROUND(G242/J242,4)</f>
        <v>#DIV/0!</v>
      </c>
      <c r="L242" s="24" t="e">
        <f>1-K242</f>
        <v>#DIV/0!</v>
      </c>
      <c r="M242" s="25" t="s">
        <v>1235</v>
      </c>
      <c r="N242" s="25" t="s">
        <v>1236</v>
      </c>
      <c r="O242" s="26" t="s">
        <v>1237</v>
      </c>
      <c r="P242" s="27" t="s">
        <v>134</v>
      </c>
      <c r="Q242" s="27" t="s">
        <v>25</v>
      </c>
      <c r="R242" s="21" t="s">
        <v>26</v>
      </c>
      <c r="S242" s="29">
        <v>208</v>
      </c>
      <c r="T242" s="1"/>
    </row>
    <row r="243" spans="1:34" x14ac:dyDescent="0.3">
      <c r="A243" s="16">
        <v>239</v>
      </c>
      <c r="B243" s="17" t="s">
        <v>1238</v>
      </c>
      <c r="C243" s="18" t="s">
        <v>1239</v>
      </c>
      <c r="D243" s="19">
        <v>46017</v>
      </c>
      <c r="E243" s="49"/>
      <c r="F243" s="49"/>
      <c r="G243" s="20"/>
      <c r="H243" s="20"/>
      <c r="I243" s="21">
        <v>77.884399999999999</v>
      </c>
      <c r="J243" s="22">
        <f>ROUND(I243*H243,2)</f>
        <v>0</v>
      </c>
      <c r="K243" s="23" t="e">
        <f>ROUND(G243/J243,4)</f>
        <v>#DIV/0!</v>
      </c>
      <c r="L243" s="24" t="e">
        <f>1-K243</f>
        <v>#DIV/0!</v>
      </c>
      <c r="M243" s="25" t="s">
        <v>1240</v>
      </c>
      <c r="N243" s="25" t="s">
        <v>1241</v>
      </c>
      <c r="O243" s="26" t="s">
        <v>1242</v>
      </c>
      <c r="P243" s="27" t="s">
        <v>687</v>
      </c>
      <c r="Q243" s="27" t="s">
        <v>25</v>
      </c>
      <c r="R243" s="21" t="s">
        <v>26</v>
      </c>
      <c r="S243" s="29">
        <v>209</v>
      </c>
      <c r="T243" s="1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 spans="1:34" x14ac:dyDescent="0.3">
      <c r="A244" s="16">
        <v>240</v>
      </c>
      <c r="B244" s="17" t="s">
        <v>1243</v>
      </c>
      <c r="C244" s="18" t="s">
        <v>1244</v>
      </c>
      <c r="D244" s="19">
        <v>46017</v>
      </c>
      <c r="E244" s="49"/>
      <c r="F244" s="49"/>
      <c r="G244" s="20"/>
      <c r="H244" s="20"/>
      <c r="I244" s="21">
        <v>77.884399999999999</v>
      </c>
      <c r="J244" s="22">
        <f>ROUND(I244*H244,2)</f>
        <v>0</v>
      </c>
      <c r="K244" s="23" t="e">
        <f>ROUND(G244/J244,4)</f>
        <v>#DIV/0!</v>
      </c>
      <c r="L244" s="24" t="e">
        <f>1-K244</f>
        <v>#DIV/0!</v>
      </c>
      <c r="M244" s="25" t="s">
        <v>1245</v>
      </c>
      <c r="N244" s="25" t="s">
        <v>1246</v>
      </c>
      <c r="O244" s="26" t="s">
        <v>1247</v>
      </c>
      <c r="P244" s="27" t="s">
        <v>1248</v>
      </c>
      <c r="Q244" s="27" t="s">
        <v>25</v>
      </c>
      <c r="R244" s="64" t="s">
        <v>39</v>
      </c>
      <c r="S244" s="29">
        <v>210</v>
      </c>
      <c r="T244" s="1"/>
    </row>
    <row r="245" spans="1:34" x14ac:dyDescent="0.3">
      <c r="A245" s="16">
        <v>241</v>
      </c>
      <c r="B245" s="17" t="s">
        <v>1249</v>
      </c>
      <c r="C245" s="18" t="s">
        <v>1250</v>
      </c>
      <c r="D245" s="19">
        <v>46017</v>
      </c>
      <c r="E245" s="49"/>
      <c r="F245" s="49"/>
      <c r="G245" s="20"/>
      <c r="H245" s="20"/>
      <c r="I245" s="21">
        <v>77.884399999999999</v>
      </c>
      <c r="J245" s="22">
        <f>ROUND(I245*H245,2)</f>
        <v>0</v>
      </c>
      <c r="K245" s="23" t="e">
        <f>ROUND(G245/J245,4)</f>
        <v>#DIV/0!</v>
      </c>
      <c r="L245" s="24" t="e">
        <f>1-K245</f>
        <v>#DIV/0!</v>
      </c>
      <c r="M245" s="25" t="s">
        <v>1251</v>
      </c>
      <c r="N245" s="25" t="s">
        <v>1252</v>
      </c>
      <c r="O245" s="26" t="s">
        <v>1253</v>
      </c>
      <c r="P245" s="27" t="s">
        <v>174</v>
      </c>
      <c r="Q245" s="27" t="s">
        <v>25</v>
      </c>
      <c r="R245" s="21" t="s">
        <v>39</v>
      </c>
      <c r="S245" s="29">
        <v>211</v>
      </c>
      <c r="T245" s="1"/>
    </row>
    <row r="246" spans="1:34" x14ac:dyDescent="0.3">
      <c r="A246" s="16">
        <v>242</v>
      </c>
      <c r="B246" s="17" t="s">
        <v>1254</v>
      </c>
      <c r="C246" s="18" t="s">
        <v>1255</v>
      </c>
      <c r="D246" s="19">
        <v>46017</v>
      </c>
      <c r="E246" s="49"/>
      <c r="F246" s="49"/>
      <c r="G246" s="20"/>
      <c r="H246" s="20"/>
      <c r="I246" s="21">
        <v>77.884399999999999</v>
      </c>
      <c r="J246" s="22">
        <f>ROUND(I246*H246,2)</f>
        <v>0</v>
      </c>
      <c r="K246" s="23" t="e">
        <f>ROUND(G246/J246,4)</f>
        <v>#DIV/0!</v>
      </c>
      <c r="L246" s="24" t="e">
        <f>1-K246</f>
        <v>#DIV/0!</v>
      </c>
      <c r="M246" s="25" t="s">
        <v>1256</v>
      </c>
      <c r="N246" s="25" t="s">
        <v>1257</v>
      </c>
      <c r="O246" s="26" t="s">
        <v>1258</v>
      </c>
      <c r="P246" s="27" t="s">
        <v>24</v>
      </c>
      <c r="Q246" s="27" t="s">
        <v>25</v>
      </c>
      <c r="R246" s="64" t="s">
        <v>39</v>
      </c>
      <c r="S246" s="29">
        <v>212</v>
      </c>
      <c r="T246" s="1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 spans="1:34" x14ac:dyDescent="0.3">
      <c r="A247" s="16">
        <v>243</v>
      </c>
      <c r="B247" s="17" t="s">
        <v>1259</v>
      </c>
      <c r="C247" s="18" t="s">
        <v>1260</v>
      </c>
      <c r="D247" s="19">
        <v>46017</v>
      </c>
      <c r="E247" s="49"/>
      <c r="F247" s="49"/>
      <c r="G247" s="20"/>
      <c r="H247" s="20"/>
      <c r="I247" s="21">
        <v>77.884399999999999</v>
      </c>
      <c r="J247" s="22">
        <f>ROUND(I247*H247,2)</f>
        <v>0</v>
      </c>
      <c r="K247" s="23" t="e">
        <f>ROUND(G247/J247,4)</f>
        <v>#DIV/0!</v>
      </c>
      <c r="L247" s="24" t="e">
        <f>1-K247</f>
        <v>#DIV/0!</v>
      </c>
      <c r="M247" s="25" t="s">
        <v>1261</v>
      </c>
      <c r="N247" s="25" t="s">
        <v>1262</v>
      </c>
      <c r="O247" s="26" t="s">
        <v>1263</v>
      </c>
      <c r="P247" s="27" t="s">
        <v>74</v>
      </c>
      <c r="Q247" s="27" t="s">
        <v>25</v>
      </c>
      <c r="R247" s="21" t="s">
        <v>26</v>
      </c>
      <c r="S247" s="29">
        <v>213</v>
      </c>
      <c r="T247" s="1"/>
    </row>
    <row r="248" spans="1:34" x14ac:dyDescent="0.3">
      <c r="A248" s="31">
        <v>244</v>
      </c>
      <c r="B248" s="32" t="s">
        <v>1264</v>
      </c>
      <c r="C248" s="33" t="s">
        <v>1265</v>
      </c>
      <c r="D248" s="19">
        <v>46017</v>
      </c>
      <c r="E248" s="49"/>
      <c r="F248" s="49"/>
      <c r="G248" s="20"/>
      <c r="H248" s="20"/>
      <c r="I248" s="21">
        <v>77.884399999999999</v>
      </c>
      <c r="J248" s="22">
        <f>ROUND(I248*H248,2)</f>
        <v>0</v>
      </c>
      <c r="K248" s="23" t="e">
        <f>ROUND(G248/J248,4)</f>
        <v>#DIV/0!</v>
      </c>
      <c r="L248" s="24" t="e">
        <f>1-K248</f>
        <v>#DIV/0!</v>
      </c>
      <c r="M248" s="25" t="s">
        <v>1266</v>
      </c>
      <c r="N248" s="25" t="s">
        <v>1267</v>
      </c>
      <c r="O248" s="26" t="s">
        <v>1268</v>
      </c>
      <c r="P248" s="27" t="s">
        <v>1269</v>
      </c>
      <c r="Q248" s="27" t="s">
        <v>25</v>
      </c>
      <c r="R248" s="21" t="s">
        <v>39</v>
      </c>
      <c r="S248" s="29">
        <v>214</v>
      </c>
      <c r="T248" s="1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 spans="1:34" x14ac:dyDescent="0.3">
      <c r="A249" s="16">
        <v>245</v>
      </c>
      <c r="B249" s="17" t="s">
        <v>1270</v>
      </c>
      <c r="C249" s="18" t="s">
        <v>1271</v>
      </c>
      <c r="D249" s="19">
        <v>46017</v>
      </c>
      <c r="E249" s="49"/>
      <c r="F249" s="49"/>
      <c r="G249" s="20"/>
      <c r="H249" s="20"/>
      <c r="I249" s="21">
        <v>77.884399999999999</v>
      </c>
      <c r="J249" s="22">
        <f>ROUND(I249*H249,2)</f>
        <v>0</v>
      </c>
      <c r="K249" s="23" t="e">
        <f>ROUND(G249/J249,4)</f>
        <v>#DIV/0!</v>
      </c>
      <c r="L249" s="24" t="e">
        <f>1-K249</f>
        <v>#DIV/0!</v>
      </c>
      <c r="M249" s="25" t="s">
        <v>1272</v>
      </c>
      <c r="N249" s="25" t="s">
        <v>1273</v>
      </c>
      <c r="O249" s="26" t="s">
        <v>1274</v>
      </c>
      <c r="P249" s="27" t="s">
        <v>24</v>
      </c>
      <c r="Q249" s="27" t="s">
        <v>25</v>
      </c>
      <c r="R249" s="64" t="s">
        <v>26</v>
      </c>
      <c r="S249" s="29">
        <v>215</v>
      </c>
      <c r="T249" s="1"/>
    </row>
    <row r="250" spans="1:34" x14ac:dyDescent="0.3">
      <c r="A250" s="31">
        <v>246</v>
      </c>
      <c r="B250" s="32" t="s">
        <v>1275</v>
      </c>
      <c r="C250" s="33" t="s">
        <v>1276</v>
      </c>
      <c r="D250" s="19">
        <v>46017</v>
      </c>
      <c r="E250" s="49"/>
      <c r="F250" s="49"/>
      <c r="G250" s="20"/>
      <c r="H250" s="20"/>
      <c r="I250" s="21">
        <v>77.884399999999999</v>
      </c>
      <c r="J250" s="22">
        <f>ROUND(I250*H250,2)</f>
        <v>0</v>
      </c>
      <c r="K250" s="23" t="e">
        <f>ROUND(G250/J250,4)</f>
        <v>#DIV/0!</v>
      </c>
      <c r="L250" s="24" t="e">
        <f>1-K250</f>
        <v>#DIV/0!</v>
      </c>
      <c r="M250" s="25" t="s">
        <v>1277</v>
      </c>
      <c r="N250" s="25" t="s">
        <v>1278</v>
      </c>
      <c r="O250" s="26" t="s">
        <v>1279</v>
      </c>
      <c r="P250" s="27" t="s">
        <v>1280</v>
      </c>
      <c r="Q250" s="27" t="s">
        <v>25</v>
      </c>
      <c r="R250" s="21" t="s">
        <v>26</v>
      </c>
      <c r="S250" s="29">
        <v>216</v>
      </c>
      <c r="T250" s="1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 spans="1:34" x14ac:dyDescent="0.3">
      <c r="A251" s="16">
        <v>247</v>
      </c>
      <c r="B251" s="17" t="s">
        <v>1281</v>
      </c>
      <c r="C251" s="18" t="s">
        <v>1282</v>
      </c>
      <c r="D251" s="19">
        <v>46017</v>
      </c>
      <c r="E251" s="49"/>
      <c r="F251" s="49"/>
      <c r="G251" s="20"/>
      <c r="H251" s="20"/>
      <c r="I251" s="21">
        <v>77.884399999999999</v>
      </c>
      <c r="J251" s="22">
        <f>ROUND(I251*H251,2)</f>
        <v>0</v>
      </c>
      <c r="K251" s="23" t="e">
        <f>ROUND(G251/J251,4)</f>
        <v>#DIV/0!</v>
      </c>
      <c r="L251" s="24" t="e">
        <f>1-K251</f>
        <v>#DIV/0!</v>
      </c>
      <c r="M251" s="25" t="s">
        <v>1283</v>
      </c>
      <c r="N251" s="25" t="s">
        <v>1284</v>
      </c>
      <c r="O251" s="26" t="s">
        <v>1285</v>
      </c>
      <c r="P251" s="27" t="s">
        <v>123</v>
      </c>
      <c r="Q251" s="27" t="s">
        <v>25</v>
      </c>
      <c r="R251" s="64" t="s">
        <v>39</v>
      </c>
      <c r="S251" s="29">
        <v>217</v>
      </c>
      <c r="T251" s="1"/>
    </row>
    <row r="252" spans="1:34" x14ac:dyDescent="0.3">
      <c r="A252" s="31">
        <v>248</v>
      </c>
      <c r="B252" s="32" t="s">
        <v>1286</v>
      </c>
      <c r="C252" s="33" t="s">
        <v>1287</v>
      </c>
      <c r="D252" s="19">
        <v>46017</v>
      </c>
      <c r="E252" s="49"/>
      <c r="F252" s="49"/>
      <c r="G252" s="20"/>
      <c r="H252" s="20"/>
      <c r="I252" s="21">
        <v>77.884399999999999</v>
      </c>
      <c r="J252" s="22">
        <f>ROUND(I252*H252,2)</f>
        <v>0</v>
      </c>
      <c r="K252" s="23" t="e">
        <f>ROUND(G252/J252,4)</f>
        <v>#DIV/0!</v>
      </c>
      <c r="L252" s="24" t="e">
        <f>1-K252</f>
        <v>#DIV/0!</v>
      </c>
      <c r="M252" s="25" t="s">
        <v>1288</v>
      </c>
      <c r="N252" s="25" t="s">
        <v>1289</v>
      </c>
      <c r="O252" s="26" t="s">
        <v>1290</v>
      </c>
      <c r="P252" s="27" t="s">
        <v>281</v>
      </c>
      <c r="Q252" s="27" t="s">
        <v>25</v>
      </c>
      <c r="R252" s="21" t="s">
        <v>39</v>
      </c>
      <c r="S252" s="29">
        <v>218</v>
      </c>
      <c r="T252" s="1"/>
    </row>
    <row r="253" spans="1:34" x14ac:dyDescent="0.3">
      <c r="A253" s="16">
        <v>249</v>
      </c>
      <c r="B253" s="17" t="s">
        <v>1291</v>
      </c>
      <c r="C253" s="18" t="s">
        <v>1292</v>
      </c>
      <c r="D253" s="19">
        <v>46017</v>
      </c>
      <c r="E253" s="49"/>
      <c r="F253" s="49"/>
      <c r="G253" s="20"/>
      <c r="H253" s="20"/>
      <c r="I253" s="21">
        <v>77.884399999999999</v>
      </c>
      <c r="J253" s="22">
        <f>ROUND(I253*H253,2)</f>
        <v>0</v>
      </c>
      <c r="K253" s="23" t="e">
        <f>ROUND(G253/J253,4)</f>
        <v>#DIV/0!</v>
      </c>
      <c r="L253" s="24" t="e">
        <f>1-K253</f>
        <v>#DIV/0!</v>
      </c>
      <c r="M253" s="25" t="s">
        <v>1293</v>
      </c>
      <c r="N253" s="25" t="s">
        <v>1294</v>
      </c>
      <c r="O253" s="26" t="s">
        <v>1295</v>
      </c>
      <c r="P253" s="27" t="s">
        <v>174</v>
      </c>
      <c r="Q253" s="27" t="s">
        <v>25</v>
      </c>
      <c r="R253" s="21" t="s">
        <v>39</v>
      </c>
      <c r="S253" s="29">
        <v>219</v>
      </c>
      <c r="T253" s="1"/>
    </row>
    <row r="254" spans="1:34" x14ac:dyDescent="0.3">
      <c r="A254" s="16">
        <v>250</v>
      </c>
      <c r="B254" s="17" t="s">
        <v>1296</v>
      </c>
      <c r="C254" s="18" t="s">
        <v>1297</v>
      </c>
      <c r="D254" s="19">
        <v>46017</v>
      </c>
      <c r="E254" s="49"/>
      <c r="F254" s="49"/>
      <c r="G254" s="20"/>
      <c r="H254" s="20"/>
      <c r="I254" s="21">
        <v>77.884399999999999</v>
      </c>
      <c r="J254" s="22">
        <f>ROUND(I254*H254,2)</f>
        <v>0</v>
      </c>
      <c r="K254" s="23" t="e">
        <f>ROUND(G254/J254,4)</f>
        <v>#DIV/0!</v>
      </c>
      <c r="L254" s="24" t="e">
        <f>1-K254</f>
        <v>#DIV/0!</v>
      </c>
      <c r="M254" s="25" t="s">
        <v>1298</v>
      </c>
      <c r="N254" s="25" t="s">
        <v>1299</v>
      </c>
      <c r="O254" s="26" t="s">
        <v>1300</v>
      </c>
      <c r="P254" s="27" t="s">
        <v>903</v>
      </c>
      <c r="Q254" s="27" t="s">
        <v>25</v>
      </c>
      <c r="R254" s="21" t="s">
        <v>39</v>
      </c>
      <c r="S254" s="29">
        <v>220</v>
      </c>
      <c r="T254" s="1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 spans="1:34" x14ac:dyDescent="0.3">
      <c r="A255" s="16">
        <v>251</v>
      </c>
      <c r="B255" s="17" t="s">
        <v>1301</v>
      </c>
      <c r="C255" s="18" t="s">
        <v>1302</v>
      </c>
      <c r="D255" s="19">
        <v>46017</v>
      </c>
      <c r="E255" s="49"/>
      <c r="F255" s="49"/>
      <c r="G255" s="20"/>
      <c r="H255" s="20"/>
      <c r="I255" s="21">
        <v>77.884399999999999</v>
      </c>
      <c r="J255" s="22">
        <f>ROUND(I255*H255,2)</f>
        <v>0</v>
      </c>
      <c r="K255" s="23" t="e">
        <f>ROUND(G255/J255,4)</f>
        <v>#DIV/0!</v>
      </c>
      <c r="L255" s="24" t="e">
        <f>1-K255</f>
        <v>#DIV/0!</v>
      </c>
      <c r="M255" s="25" t="s">
        <v>1303</v>
      </c>
      <c r="N255" s="25" t="s">
        <v>1304</v>
      </c>
      <c r="O255" s="26" t="s">
        <v>1305</v>
      </c>
      <c r="P255" s="27" t="s">
        <v>174</v>
      </c>
      <c r="Q255" s="27" t="s">
        <v>25</v>
      </c>
      <c r="R255" s="64" t="s">
        <v>26</v>
      </c>
      <c r="S255" s="29">
        <v>221</v>
      </c>
      <c r="T255" s="1"/>
    </row>
    <row r="256" spans="1:34" x14ac:dyDescent="0.3">
      <c r="A256" s="16">
        <v>252</v>
      </c>
      <c r="B256" s="17" t="s">
        <v>1306</v>
      </c>
      <c r="C256" s="18" t="s">
        <v>1307</v>
      </c>
      <c r="D256" s="19">
        <v>46017</v>
      </c>
      <c r="E256" s="49"/>
      <c r="F256" s="49"/>
      <c r="G256" s="20"/>
      <c r="H256" s="20"/>
      <c r="I256" s="21">
        <v>77.884399999999999</v>
      </c>
      <c r="J256" s="22">
        <f>ROUND(I256*H256,2)</f>
        <v>0</v>
      </c>
      <c r="K256" s="23" t="e">
        <f>ROUND(G256/J256,4)</f>
        <v>#DIV/0!</v>
      </c>
      <c r="L256" s="24" t="e">
        <f>1-K256</f>
        <v>#DIV/0!</v>
      </c>
      <c r="M256" s="25" t="s">
        <v>1308</v>
      </c>
      <c r="N256" s="25" t="s">
        <v>1309</v>
      </c>
      <c r="O256" s="26" t="s">
        <v>1310</v>
      </c>
      <c r="P256" s="27" t="s">
        <v>319</v>
      </c>
      <c r="Q256" s="27" t="s">
        <v>25</v>
      </c>
      <c r="R256" s="64" t="s">
        <v>39</v>
      </c>
      <c r="S256" s="29">
        <v>222</v>
      </c>
      <c r="T256" s="1"/>
    </row>
    <row r="257" spans="1:34" x14ac:dyDescent="0.3">
      <c r="A257" s="31">
        <v>253</v>
      </c>
      <c r="B257" s="32" t="s">
        <v>1311</v>
      </c>
      <c r="C257" s="33" t="s">
        <v>1312</v>
      </c>
      <c r="D257" s="19">
        <v>46017</v>
      </c>
      <c r="E257" s="49"/>
      <c r="F257" s="49"/>
      <c r="G257" s="20"/>
      <c r="H257" s="20"/>
      <c r="I257" s="21">
        <v>77.884399999999999</v>
      </c>
      <c r="J257" s="22">
        <f>ROUND(I257*H257,2)</f>
        <v>0</v>
      </c>
      <c r="K257" s="23" t="e">
        <f>ROUND(G257/J257,4)</f>
        <v>#DIV/0!</v>
      </c>
      <c r="L257" s="24" t="e">
        <f>1-K257</f>
        <v>#DIV/0!</v>
      </c>
      <c r="M257" s="25" t="s">
        <v>1313</v>
      </c>
      <c r="N257" s="25" t="s">
        <v>1314</v>
      </c>
      <c r="O257" s="26" t="s">
        <v>1315</v>
      </c>
      <c r="P257" s="27" t="s">
        <v>319</v>
      </c>
      <c r="Q257" s="27" t="s">
        <v>25</v>
      </c>
      <c r="R257" s="64" t="s">
        <v>39</v>
      </c>
      <c r="S257" s="29">
        <v>223</v>
      </c>
      <c r="T257" s="1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 spans="1:34" x14ac:dyDescent="0.3">
      <c r="A258" s="16">
        <v>254</v>
      </c>
      <c r="B258" s="17" t="s">
        <v>1316</v>
      </c>
      <c r="C258" s="18" t="s">
        <v>1317</v>
      </c>
      <c r="D258" s="19">
        <v>46017</v>
      </c>
      <c r="E258" s="49"/>
      <c r="F258" s="49"/>
      <c r="G258" s="20"/>
      <c r="H258" s="20"/>
      <c r="I258" s="21">
        <v>77.884399999999999</v>
      </c>
      <c r="J258" s="22">
        <f>ROUND(I258*H258,2)</f>
        <v>0</v>
      </c>
      <c r="K258" s="23" t="e">
        <f>ROUND(G258/J258,4)</f>
        <v>#DIV/0!</v>
      </c>
      <c r="L258" s="24" t="e">
        <f>1-K258</f>
        <v>#DIV/0!</v>
      </c>
      <c r="M258" s="25" t="s">
        <v>1318</v>
      </c>
      <c r="N258" s="25" t="s">
        <v>1319</v>
      </c>
      <c r="O258" s="26" t="s">
        <v>1320</v>
      </c>
      <c r="P258" s="27" t="s">
        <v>1148</v>
      </c>
      <c r="Q258" s="27" t="s">
        <v>25</v>
      </c>
      <c r="R258" s="64" t="s">
        <v>39</v>
      </c>
      <c r="S258" s="29">
        <v>224</v>
      </c>
      <c r="T258" s="1"/>
    </row>
    <row r="259" spans="1:34" x14ac:dyDescent="0.3">
      <c r="A259" s="16">
        <v>255</v>
      </c>
      <c r="B259" s="17" t="s">
        <v>1321</v>
      </c>
      <c r="C259" s="34" t="s">
        <v>1322</v>
      </c>
      <c r="D259" s="19">
        <v>46017</v>
      </c>
      <c r="E259" s="49"/>
      <c r="F259" s="49"/>
      <c r="G259" s="20"/>
      <c r="H259" s="20"/>
      <c r="I259" s="21">
        <v>77.884399999999999</v>
      </c>
      <c r="J259" s="22">
        <f>ROUND(I259*H259,2)</f>
        <v>0</v>
      </c>
      <c r="K259" s="23" t="e">
        <f>ROUND(G259/J259,4)</f>
        <v>#DIV/0!</v>
      </c>
      <c r="L259" s="24" t="e">
        <f>1-K259</f>
        <v>#DIV/0!</v>
      </c>
      <c r="M259" s="25" t="s">
        <v>1323</v>
      </c>
      <c r="N259" s="25" t="s">
        <v>1324</v>
      </c>
      <c r="O259" s="26" t="s">
        <v>1325</v>
      </c>
      <c r="P259" s="27" t="s">
        <v>1326</v>
      </c>
      <c r="Q259" s="27" t="s">
        <v>25</v>
      </c>
      <c r="R259" s="21" t="s">
        <v>39</v>
      </c>
      <c r="S259" s="29">
        <v>225</v>
      </c>
      <c r="T259" s="1"/>
    </row>
    <row r="260" spans="1:34" x14ac:dyDescent="0.3">
      <c r="A260" s="31">
        <v>256</v>
      </c>
      <c r="B260" s="26" t="s">
        <v>1327</v>
      </c>
      <c r="C260" s="27" t="s">
        <v>1328</v>
      </c>
      <c r="D260" s="19">
        <v>46017</v>
      </c>
      <c r="E260" s="49"/>
      <c r="F260" s="49"/>
      <c r="G260" s="20"/>
      <c r="H260" s="20"/>
      <c r="I260" s="21">
        <v>77.884399999999999</v>
      </c>
      <c r="J260" s="22">
        <f>ROUND(I260*H260,2)</f>
        <v>0</v>
      </c>
      <c r="K260" s="23" t="e">
        <f>ROUND(G260/J260,4)</f>
        <v>#DIV/0!</v>
      </c>
      <c r="L260" s="24" t="e">
        <f>1-K260</f>
        <v>#DIV/0!</v>
      </c>
      <c r="M260" s="25"/>
      <c r="N260" s="25"/>
      <c r="O260" s="26" t="s">
        <v>1329</v>
      </c>
      <c r="P260" s="27" t="s">
        <v>281</v>
      </c>
      <c r="Q260" s="27" t="s">
        <v>25</v>
      </c>
      <c r="R260" s="21" t="s">
        <v>26</v>
      </c>
      <c r="S260" s="29"/>
      <c r="T260" s="1"/>
    </row>
    <row r="261" spans="1:34" x14ac:dyDescent="0.3">
      <c r="A261" s="16">
        <v>257</v>
      </c>
      <c r="B261" s="17" t="s">
        <v>1330</v>
      </c>
      <c r="C261" s="18" t="s">
        <v>1331</v>
      </c>
      <c r="D261" s="19">
        <v>46017</v>
      </c>
      <c r="E261" s="49"/>
      <c r="F261" s="49"/>
      <c r="G261" s="20"/>
      <c r="H261" s="20"/>
      <c r="I261" s="21">
        <v>77.884399999999999</v>
      </c>
      <c r="J261" s="22">
        <f>ROUND(I261*H261,2)</f>
        <v>0</v>
      </c>
      <c r="K261" s="23" t="e">
        <f>ROUND(G261/J261,4)</f>
        <v>#DIV/0!</v>
      </c>
      <c r="L261" s="24" t="e">
        <f>1-K261</f>
        <v>#DIV/0!</v>
      </c>
      <c r="M261" s="25" t="s">
        <v>1332</v>
      </c>
      <c r="N261" s="25" t="s">
        <v>1333</v>
      </c>
      <c r="O261" s="26" t="s">
        <v>1334</v>
      </c>
      <c r="P261" s="27" t="s">
        <v>809</v>
      </c>
      <c r="Q261" s="27" t="s">
        <v>25</v>
      </c>
      <c r="R261" s="21" t="s">
        <v>26</v>
      </c>
      <c r="S261" s="29">
        <v>226</v>
      </c>
      <c r="T261" s="1"/>
    </row>
    <row r="262" spans="1:34" x14ac:dyDescent="0.3">
      <c r="A262" s="16">
        <v>258</v>
      </c>
      <c r="B262" s="17" t="s">
        <v>1335</v>
      </c>
      <c r="C262" s="18" t="s">
        <v>1336</v>
      </c>
      <c r="D262" s="19">
        <v>46017</v>
      </c>
      <c r="E262" s="49"/>
      <c r="F262" s="49"/>
      <c r="G262" s="20"/>
      <c r="H262" s="20"/>
      <c r="I262" s="21">
        <v>77.884399999999999</v>
      </c>
      <c r="J262" s="22">
        <f>ROUND(I262*H262,2)</f>
        <v>0</v>
      </c>
      <c r="K262" s="23" t="e">
        <f>ROUND(G262/J262,4)</f>
        <v>#DIV/0!</v>
      </c>
      <c r="L262" s="24" t="e">
        <f>1-K262</f>
        <v>#DIV/0!</v>
      </c>
      <c r="M262" s="25" t="s">
        <v>1337</v>
      </c>
      <c r="N262" s="25" t="s">
        <v>1338</v>
      </c>
      <c r="O262" s="26" t="s">
        <v>1339</v>
      </c>
      <c r="P262" s="27" t="s">
        <v>687</v>
      </c>
      <c r="Q262" s="27" t="s">
        <v>25</v>
      </c>
      <c r="R262" s="21" t="s">
        <v>39</v>
      </c>
      <c r="S262" s="29">
        <v>227</v>
      </c>
      <c r="T262" s="1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 spans="1:34" x14ac:dyDescent="0.3">
      <c r="A263" s="16">
        <v>259</v>
      </c>
      <c r="B263" s="17" t="s">
        <v>1340</v>
      </c>
      <c r="C263" s="18" t="s">
        <v>1341</v>
      </c>
      <c r="D263" s="19">
        <v>46017</v>
      </c>
      <c r="E263" s="49"/>
      <c r="F263" s="49"/>
      <c r="G263" s="20"/>
      <c r="H263" s="20"/>
      <c r="I263" s="21">
        <v>77.884399999999999</v>
      </c>
      <c r="J263" s="22">
        <f>ROUND(I263*H263,2)</f>
        <v>0</v>
      </c>
      <c r="K263" s="23" t="e">
        <f>ROUND(G263/J263,4)</f>
        <v>#DIV/0!</v>
      </c>
      <c r="L263" s="24" t="e">
        <f>1-K263</f>
        <v>#DIV/0!</v>
      </c>
      <c r="M263" s="25" t="s">
        <v>1342</v>
      </c>
      <c r="N263" s="25" t="s">
        <v>1343</v>
      </c>
      <c r="O263" s="26" t="s">
        <v>1344</v>
      </c>
      <c r="P263" s="27" t="s">
        <v>174</v>
      </c>
      <c r="Q263" s="27" t="s">
        <v>25</v>
      </c>
      <c r="R263" s="64" t="s">
        <v>26</v>
      </c>
      <c r="S263" s="29">
        <v>228</v>
      </c>
      <c r="T263" s="1"/>
    </row>
    <row r="264" spans="1:34" x14ac:dyDescent="0.3">
      <c r="A264" s="16">
        <v>260</v>
      </c>
      <c r="B264" s="17" t="s">
        <v>1345</v>
      </c>
      <c r="C264" s="18" t="s">
        <v>1346</v>
      </c>
      <c r="D264" s="19">
        <v>46017</v>
      </c>
      <c r="E264" s="49"/>
      <c r="F264" s="49"/>
      <c r="G264" s="20"/>
      <c r="H264" s="20"/>
      <c r="I264" s="21">
        <v>77.884399999999999</v>
      </c>
      <c r="J264" s="22">
        <f>ROUND(I264*H264,2)</f>
        <v>0</v>
      </c>
      <c r="K264" s="23" t="e">
        <f>ROUND(G264/J264,4)</f>
        <v>#DIV/0!</v>
      </c>
      <c r="L264" s="24" t="e">
        <f>1-K264</f>
        <v>#DIV/0!</v>
      </c>
      <c r="M264" s="25" t="s">
        <v>1347</v>
      </c>
      <c r="N264" s="25" t="s">
        <v>1348</v>
      </c>
      <c r="O264" s="26" t="s">
        <v>1349</v>
      </c>
      <c r="P264" s="27" t="s">
        <v>174</v>
      </c>
      <c r="Q264" s="27" t="s">
        <v>25</v>
      </c>
      <c r="R264" s="64" t="s">
        <v>39</v>
      </c>
      <c r="S264" s="29">
        <v>229</v>
      </c>
      <c r="T264" s="1"/>
    </row>
    <row r="265" spans="1:34" x14ac:dyDescent="0.3">
      <c r="A265" s="16">
        <v>261</v>
      </c>
      <c r="B265" s="17" t="s">
        <v>1350</v>
      </c>
      <c r="C265" s="18" t="s">
        <v>1351</v>
      </c>
      <c r="D265" s="19">
        <v>46017</v>
      </c>
      <c r="E265" s="49"/>
      <c r="F265" s="49"/>
      <c r="G265" s="20"/>
      <c r="H265" s="20"/>
      <c r="I265" s="21">
        <v>77.884399999999999</v>
      </c>
      <c r="J265" s="22">
        <f>ROUND(I265*H265,2)</f>
        <v>0</v>
      </c>
      <c r="K265" s="23" t="e">
        <f>ROUND(G265/J265,4)</f>
        <v>#DIV/0!</v>
      </c>
      <c r="L265" s="24" t="e">
        <f>1-K265</f>
        <v>#DIV/0!</v>
      </c>
      <c r="M265" s="25" t="s">
        <v>1352</v>
      </c>
      <c r="N265" s="25" t="s">
        <v>1353</v>
      </c>
      <c r="O265" s="26" t="s">
        <v>1354</v>
      </c>
      <c r="P265" s="27" t="s">
        <v>24</v>
      </c>
      <c r="Q265" s="27" t="s">
        <v>25</v>
      </c>
      <c r="R265" s="21" t="s">
        <v>39</v>
      </c>
      <c r="S265" s="29">
        <v>230</v>
      </c>
      <c r="T265" s="1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 spans="1:34" x14ac:dyDescent="0.3">
      <c r="A266" s="16">
        <v>262</v>
      </c>
      <c r="B266" s="17" t="s">
        <v>1355</v>
      </c>
      <c r="C266" s="18" t="s">
        <v>1356</v>
      </c>
      <c r="D266" s="19">
        <v>46017</v>
      </c>
      <c r="E266" s="49"/>
      <c r="F266" s="49"/>
      <c r="G266" s="20"/>
      <c r="H266" s="20"/>
      <c r="I266" s="21">
        <v>77.884399999999999</v>
      </c>
      <c r="J266" s="22">
        <f>ROUND(I266*H266,2)</f>
        <v>0</v>
      </c>
      <c r="K266" s="23" t="e">
        <f>ROUND(G266/J266,4)</f>
        <v>#DIV/0!</v>
      </c>
      <c r="L266" s="24" t="e">
        <f>1-K266</f>
        <v>#DIV/0!</v>
      </c>
      <c r="M266" s="25" t="s">
        <v>1357</v>
      </c>
      <c r="N266" s="25" t="s">
        <v>1358</v>
      </c>
      <c r="O266" s="26" t="s">
        <v>1359</v>
      </c>
      <c r="P266" s="27" t="s">
        <v>24</v>
      </c>
      <c r="Q266" s="27" t="s">
        <v>25</v>
      </c>
      <c r="R266" s="21" t="s">
        <v>26</v>
      </c>
      <c r="S266" s="29">
        <v>231</v>
      </c>
      <c r="T266" s="1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 spans="1:34" x14ac:dyDescent="0.3">
      <c r="A267" s="16">
        <v>263</v>
      </c>
      <c r="B267" s="17" t="s">
        <v>1360</v>
      </c>
      <c r="C267" s="18" t="s">
        <v>1361</v>
      </c>
      <c r="D267" s="19">
        <v>46017</v>
      </c>
      <c r="E267" s="49"/>
      <c r="F267" s="49"/>
      <c r="G267" s="20"/>
      <c r="H267" s="20"/>
      <c r="I267" s="21">
        <v>77.884399999999999</v>
      </c>
      <c r="J267" s="22">
        <f>ROUND(I267*H267,2)</f>
        <v>0</v>
      </c>
      <c r="K267" s="23" t="e">
        <f>ROUND(G267/J267,4)</f>
        <v>#DIV/0!</v>
      </c>
      <c r="L267" s="24" t="e">
        <f>1-K267</f>
        <v>#DIV/0!</v>
      </c>
      <c r="M267" s="25" t="s">
        <v>1362</v>
      </c>
      <c r="N267" s="25" t="s">
        <v>1363</v>
      </c>
      <c r="O267" s="26" t="s">
        <v>1364</v>
      </c>
      <c r="P267" s="27" t="s">
        <v>174</v>
      </c>
      <c r="Q267" s="27" t="s">
        <v>25</v>
      </c>
      <c r="R267" s="64" t="s">
        <v>26</v>
      </c>
      <c r="S267" s="29">
        <v>232</v>
      </c>
      <c r="T267" s="1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 spans="1:34" x14ac:dyDescent="0.3">
      <c r="A268" s="16">
        <v>264</v>
      </c>
      <c r="B268" s="17" t="s">
        <v>1365</v>
      </c>
      <c r="C268" s="18" t="s">
        <v>1366</v>
      </c>
      <c r="D268" s="19">
        <v>46017</v>
      </c>
      <c r="E268" s="49"/>
      <c r="F268" s="49"/>
      <c r="G268" s="20"/>
      <c r="H268" s="20"/>
      <c r="I268" s="21">
        <v>77.884399999999999</v>
      </c>
      <c r="J268" s="22">
        <f>ROUND(I268*H268,2)</f>
        <v>0</v>
      </c>
      <c r="K268" s="23" t="e">
        <f>ROUND(G268/J268,4)</f>
        <v>#DIV/0!</v>
      </c>
      <c r="L268" s="24" t="e">
        <f>1-K268</f>
        <v>#DIV/0!</v>
      </c>
      <c r="M268" s="25" t="s">
        <v>1367</v>
      </c>
      <c r="N268" s="25" t="s">
        <v>1368</v>
      </c>
      <c r="O268" s="26" t="s">
        <v>1369</v>
      </c>
      <c r="P268" s="27" t="s">
        <v>140</v>
      </c>
      <c r="Q268" s="27" t="s">
        <v>25</v>
      </c>
      <c r="R268" s="21" t="s">
        <v>39</v>
      </c>
      <c r="S268" s="29">
        <v>233</v>
      </c>
      <c r="T268" s="1"/>
    </row>
    <row r="269" spans="1:34" x14ac:dyDescent="0.3">
      <c r="A269" s="16">
        <v>265</v>
      </c>
      <c r="B269" s="17" t="s">
        <v>1370</v>
      </c>
      <c r="C269" s="18" t="s">
        <v>1371</v>
      </c>
      <c r="D269" s="19">
        <v>46017</v>
      </c>
      <c r="E269" s="49"/>
      <c r="F269" s="49"/>
      <c r="G269" s="20"/>
      <c r="H269" s="20"/>
      <c r="I269" s="21">
        <v>77.884399999999999</v>
      </c>
      <c r="J269" s="22">
        <f>ROUND(I269*H269,2)</f>
        <v>0</v>
      </c>
      <c r="K269" s="23" t="e">
        <f>ROUND(G269/J269,4)</f>
        <v>#DIV/0!</v>
      </c>
      <c r="L269" s="24" t="e">
        <f>1-K269</f>
        <v>#DIV/0!</v>
      </c>
      <c r="M269" s="25" t="s">
        <v>1372</v>
      </c>
      <c r="N269" s="25" t="s">
        <v>1373</v>
      </c>
      <c r="O269" s="26" t="s">
        <v>1374</v>
      </c>
      <c r="P269" s="27" t="s">
        <v>1375</v>
      </c>
      <c r="Q269" s="27" t="s">
        <v>25</v>
      </c>
      <c r="R269" s="21" t="s">
        <v>39</v>
      </c>
      <c r="S269" s="29">
        <v>234</v>
      </c>
      <c r="T269" s="1"/>
    </row>
    <row r="270" spans="1:34" x14ac:dyDescent="0.3">
      <c r="A270" s="31">
        <v>266</v>
      </c>
      <c r="B270" s="32" t="s">
        <v>1376</v>
      </c>
      <c r="C270" s="33" t="s">
        <v>1377</v>
      </c>
      <c r="D270" s="19">
        <v>46017</v>
      </c>
      <c r="E270" s="49"/>
      <c r="F270" s="49"/>
      <c r="G270" s="20"/>
      <c r="H270" s="20"/>
      <c r="I270" s="21">
        <v>77.884399999999999</v>
      </c>
      <c r="J270" s="22">
        <f>ROUND(I270*H270,2)</f>
        <v>0</v>
      </c>
      <c r="K270" s="23" t="e">
        <f>ROUND(G270/J270,4)</f>
        <v>#DIV/0!</v>
      </c>
      <c r="L270" s="24" t="e">
        <f>1-K270</f>
        <v>#DIV/0!</v>
      </c>
      <c r="M270" s="25" t="s">
        <v>1378</v>
      </c>
      <c r="N270" s="25" t="s">
        <v>1379</v>
      </c>
      <c r="O270" s="26" t="s">
        <v>1380</v>
      </c>
      <c r="P270" s="27" t="s">
        <v>1381</v>
      </c>
      <c r="Q270" s="27" t="s">
        <v>25</v>
      </c>
      <c r="R270" s="21" t="s">
        <v>39</v>
      </c>
      <c r="S270" s="29">
        <v>235</v>
      </c>
      <c r="T270" s="1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 spans="1:34" x14ac:dyDescent="0.3">
      <c r="A271" s="16">
        <v>267</v>
      </c>
      <c r="B271" s="17" t="s">
        <v>1382</v>
      </c>
      <c r="C271" s="18" t="s">
        <v>1383</v>
      </c>
      <c r="D271" s="19">
        <v>46017</v>
      </c>
      <c r="E271" s="49"/>
      <c r="F271" s="49"/>
      <c r="G271" s="20"/>
      <c r="H271" s="20"/>
      <c r="I271" s="21">
        <v>77.884399999999999</v>
      </c>
      <c r="J271" s="22">
        <f>ROUND(I271*H271,2)</f>
        <v>0</v>
      </c>
      <c r="K271" s="23" t="e">
        <f>ROUND(G271/J271,4)</f>
        <v>#DIV/0!</v>
      </c>
      <c r="L271" s="24" t="e">
        <f>1-K271</f>
        <v>#DIV/0!</v>
      </c>
      <c r="M271" s="25" t="s">
        <v>1384</v>
      </c>
      <c r="N271" s="25" t="s">
        <v>1385</v>
      </c>
      <c r="O271" s="26" t="s">
        <v>1386</v>
      </c>
      <c r="P271" s="27" t="s">
        <v>146</v>
      </c>
      <c r="Q271" s="27" t="s">
        <v>25</v>
      </c>
      <c r="R271" s="64" t="s">
        <v>39</v>
      </c>
      <c r="S271" s="29">
        <v>236</v>
      </c>
      <c r="T271" s="1"/>
    </row>
    <row r="272" spans="1:34" x14ac:dyDescent="0.3">
      <c r="A272" s="16">
        <v>268</v>
      </c>
      <c r="B272" s="17" t="s">
        <v>1387</v>
      </c>
      <c r="C272" s="18" t="s">
        <v>1388</v>
      </c>
      <c r="D272" s="19">
        <v>46017</v>
      </c>
      <c r="E272" s="49"/>
      <c r="F272" s="49"/>
      <c r="G272" s="20"/>
      <c r="H272" s="20"/>
      <c r="I272" s="21">
        <v>77.884399999999999</v>
      </c>
      <c r="J272" s="22">
        <f>ROUND(I272*H272,2)</f>
        <v>0</v>
      </c>
      <c r="K272" s="23" t="e">
        <f>ROUND(G272/J272,4)</f>
        <v>#DIV/0!</v>
      </c>
      <c r="L272" s="24" t="e">
        <f>1-K272</f>
        <v>#DIV/0!</v>
      </c>
      <c r="M272" s="25" t="s">
        <v>1389</v>
      </c>
      <c r="N272" s="25" t="s">
        <v>1390</v>
      </c>
      <c r="O272" s="26" t="s">
        <v>1391</v>
      </c>
      <c r="P272" s="27" t="s">
        <v>68</v>
      </c>
      <c r="Q272" s="27" t="s">
        <v>25</v>
      </c>
      <c r="R272" s="21" t="s">
        <v>39</v>
      </c>
      <c r="S272" s="29">
        <v>237</v>
      </c>
      <c r="T272" s="1"/>
    </row>
    <row r="273" spans="1:34" x14ac:dyDescent="0.3">
      <c r="A273" s="16">
        <v>269</v>
      </c>
      <c r="B273" s="17" t="s">
        <v>1392</v>
      </c>
      <c r="C273" s="18" t="s">
        <v>1393</v>
      </c>
      <c r="D273" s="19">
        <v>46017</v>
      </c>
      <c r="E273" s="49"/>
      <c r="F273" s="49"/>
      <c r="G273" s="20"/>
      <c r="H273" s="20"/>
      <c r="I273" s="21">
        <v>77.884399999999999</v>
      </c>
      <c r="J273" s="22">
        <f>ROUND(I273*H273,2)</f>
        <v>0</v>
      </c>
      <c r="K273" s="23" t="e">
        <f>ROUND(G273/J273,4)</f>
        <v>#DIV/0!</v>
      </c>
      <c r="L273" s="24" t="e">
        <f>1-K273</f>
        <v>#DIV/0!</v>
      </c>
      <c r="M273" s="25" t="s">
        <v>1394</v>
      </c>
      <c r="N273" s="25" t="s">
        <v>1395</v>
      </c>
      <c r="O273" s="26" t="s">
        <v>1396</v>
      </c>
      <c r="P273" s="27" t="s">
        <v>32</v>
      </c>
      <c r="Q273" s="27" t="s">
        <v>25</v>
      </c>
      <c r="R273" s="21" t="s">
        <v>39</v>
      </c>
      <c r="S273" s="29">
        <v>238</v>
      </c>
      <c r="T273" s="1"/>
    </row>
    <row r="274" spans="1:34" x14ac:dyDescent="0.3">
      <c r="A274" s="31">
        <v>270</v>
      </c>
      <c r="B274" s="32" t="s">
        <v>1397</v>
      </c>
      <c r="C274" s="33" t="s">
        <v>1398</v>
      </c>
      <c r="D274" s="19">
        <v>46017</v>
      </c>
      <c r="E274" s="49"/>
      <c r="F274" s="49"/>
      <c r="G274" s="20"/>
      <c r="H274" s="20"/>
      <c r="I274" s="21">
        <v>77.884399999999999</v>
      </c>
      <c r="J274" s="22">
        <f>ROUND(I274*H274,2)</f>
        <v>0</v>
      </c>
      <c r="K274" s="23" t="e">
        <f>ROUND(G274/J274,4)</f>
        <v>#DIV/0!</v>
      </c>
      <c r="L274" s="24" t="e">
        <f>1-K274</f>
        <v>#DIV/0!</v>
      </c>
      <c r="M274" s="25" t="s">
        <v>1399</v>
      </c>
      <c r="N274" s="25" t="s">
        <v>1400</v>
      </c>
      <c r="O274" s="26" t="s">
        <v>1401</v>
      </c>
      <c r="P274" s="27" t="s">
        <v>1402</v>
      </c>
      <c r="Q274" s="27" t="s">
        <v>25</v>
      </c>
      <c r="R274" s="64" t="s">
        <v>26</v>
      </c>
      <c r="S274" s="29">
        <v>239</v>
      </c>
      <c r="T274" s="1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 spans="1:34" x14ac:dyDescent="0.3">
      <c r="A275" s="16">
        <v>271</v>
      </c>
      <c r="B275" s="17" t="s">
        <v>1403</v>
      </c>
      <c r="C275" s="18" t="s">
        <v>1404</v>
      </c>
      <c r="D275" s="19">
        <v>46017</v>
      </c>
      <c r="E275" s="49"/>
      <c r="F275" s="49"/>
      <c r="G275" s="20"/>
      <c r="H275" s="20"/>
      <c r="I275" s="21">
        <v>77.884399999999999</v>
      </c>
      <c r="J275" s="22">
        <f>ROUND(I275*H275,2)</f>
        <v>0</v>
      </c>
      <c r="K275" s="23" t="e">
        <f>ROUND(G275/J275,4)</f>
        <v>#DIV/0!</v>
      </c>
      <c r="L275" s="24" t="e">
        <f>1-K275</f>
        <v>#DIV/0!</v>
      </c>
      <c r="M275" s="25" t="s">
        <v>1405</v>
      </c>
      <c r="N275" s="25" t="s">
        <v>1406</v>
      </c>
      <c r="O275" s="26" t="s">
        <v>1407</v>
      </c>
      <c r="P275" s="27" t="s">
        <v>24</v>
      </c>
      <c r="Q275" s="27" t="s">
        <v>25</v>
      </c>
      <c r="R275" s="64" t="s">
        <v>39</v>
      </c>
      <c r="S275" s="29">
        <v>240</v>
      </c>
      <c r="T275" s="1"/>
    </row>
    <row r="276" spans="1:34" x14ac:dyDescent="0.3">
      <c r="A276" s="16">
        <v>272</v>
      </c>
      <c r="B276" s="17" t="s">
        <v>1408</v>
      </c>
      <c r="C276" s="18" t="s">
        <v>1409</v>
      </c>
      <c r="D276" s="19">
        <v>46017</v>
      </c>
      <c r="E276" s="49"/>
      <c r="F276" s="49"/>
      <c r="G276" s="20"/>
      <c r="H276" s="20"/>
      <c r="I276" s="21">
        <v>77.884399999999999</v>
      </c>
      <c r="J276" s="22">
        <f>ROUND(I276*H276,2)</f>
        <v>0</v>
      </c>
      <c r="K276" s="23" t="e">
        <f>ROUND(G276/J276,4)</f>
        <v>#DIV/0!</v>
      </c>
      <c r="L276" s="24" t="e">
        <f>1-K276</f>
        <v>#DIV/0!</v>
      </c>
      <c r="M276" s="25" t="s">
        <v>1410</v>
      </c>
      <c r="N276" s="25" t="s">
        <v>1411</v>
      </c>
      <c r="O276" s="26" t="s">
        <v>1412</v>
      </c>
      <c r="P276" s="27" t="s">
        <v>123</v>
      </c>
      <c r="Q276" s="27" t="s">
        <v>25</v>
      </c>
      <c r="R276" s="21" t="s">
        <v>26</v>
      </c>
      <c r="S276" s="29">
        <v>241</v>
      </c>
      <c r="T276" s="1"/>
    </row>
    <row r="277" spans="1:34" x14ac:dyDescent="0.3">
      <c r="A277" s="16">
        <v>273</v>
      </c>
      <c r="B277" s="17" t="s">
        <v>1413</v>
      </c>
      <c r="C277" s="18" t="s">
        <v>1414</v>
      </c>
      <c r="D277" s="19">
        <v>46017</v>
      </c>
      <c r="E277" s="49"/>
      <c r="F277" s="49"/>
      <c r="G277" s="20"/>
      <c r="H277" s="20"/>
      <c r="I277" s="21">
        <v>77.884399999999999</v>
      </c>
      <c r="J277" s="22">
        <f>ROUND(I277*H277,2)</f>
        <v>0</v>
      </c>
      <c r="K277" s="23" t="e">
        <f>ROUND(G277/J277,4)</f>
        <v>#DIV/0!</v>
      </c>
      <c r="L277" s="24" t="e">
        <f>1-K277</f>
        <v>#DIV/0!</v>
      </c>
      <c r="M277" s="25" t="s">
        <v>1415</v>
      </c>
      <c r="N277" s="25" t="s">
        <v>1416</v>
      </c>
      <c r="O277" s="26" t="s">
        <v>1417</v>
      </c>
      <c r="P277" s="27" t="s">
        <v>32</v>
      </c>
      <c r="Q277" s="27" t="s">
        <v>25</v>
      </c>
      <c r="R277" s="21" t="s">
        <v>26</v>
      </c>
      <c r="S277" s="29">
        <v>242</v>
      </c>
      <c r="T277" s="1"/>
    </row>
    <row r="278" spans="1:34" x14ac:dyDescent="0.3">
      <c r="A278" s="16">
        <v>274</v>
      </c>
      <c r="B278" s="17" t="s">
        <v>1418</v>
      </c>
      <c r="C278" s="18" t="s">
        <v>1419</v>
      </c>
      <c r="D278" s="19">
        <v>46017</v>
      </c>
      <c r="E278" s="49"/>
      <c r="F278" s="49"/>
      <c r="G278" s="20"/>
      <c r="H278" s="20"/>
      <c r="I278" s="21">
        <v>77.884399999999999</v>
      </c>
      <c r="J278" s="22">
        <f>ROUND(I278*H278,2)</f>
        <v>0</v>
      </c>
      <c r="K278" s="23" t="e">
        <f>ROUND(G278/J278,4)</f>
        <v>#DIV/0!</v>
      </c>
      <c r="L278" s="24" t="e">
        <f>1-K278</f>
        <v>#DIV/0!</v>
      </c>
      <c r="M278" s="25" t="s">
        <v>1420</v>
      </c>
      <c r="N278" s="25" t="s">
        <v>1421</v>
      </c>
      <c r="O278" s="26" t="s">
        <v>1422</v>
      </c>
      <c r="P278" s="27" t="s">
        <v>189</v>
      </c>
      <c r="Q278" s="27" t="s">
        <v>25</v>
      </c>
      <c r="R278" s="21" t="s">
        <v>39</v>
      </c>
      <c r="S278" s="29">
        <v>243</v>
      </c>
      <c r="T278" s="1"/>
    </row>
    <row r="279" spans="1:34" x14ac:dyDescent="0.3">
      <c r="A279" s="31">
        <v>275</v>
      </c>
      <c r="B279" s="32" t="s">
        <v>1423</v>
      </c>
      <c r="C279" s="33" t="s">
        <v>1424</v>
      </c>
      <c r="D279" s="19">
        <v>46017</v>
      </c>
      <c r="E279" s="49"/>
      <c r="F279" s="49"/>
      <c r="G279" s="20"/>
      <c r="H279" s="20"/>
      <c r="I279" s="21">
        <v>77.884399999999999</v>
      </c>
      <c r="J279" s="22">
        <f>ROUND(I279*H279,2)</f>
        <v>0</v>
      </c>
      <c r="K279" s="23" t="e">
        <f>ROUND(G279/J279,4)</f>
        <v>#DIV/0!</v>
      </c>
      <c r="L279" s="24" t="e">
        <f>1-K279</f>
        <v>#DIV/0!</v>
      </c>
      <c r="M279" s="25" t="s">
        <v>1425</v>
      </c>
      <c r="N279" s="25" t="s">
        <v>1426</v>
      </c>
      <c r="O279" s="26" t="s">
        <v>1427</v>
      </c>
      <c r="P279" s="27" t="s">
        <v>1428</v>
      </c>
      <c r="Q279" s="27" t="s">
        <v>25</v>
      </c>
      <c r="R279" s="21" t="s">
        <v>39</v>
      </c>
      <c r="S279" s="29">
        <v>244</v>
      </c>
      <c r="T279" s="1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 spans="1:34" x14ac:dyDescent="0.3">
      <c r="A280" s="16">
        <v>276</v>
      </c>
      <c r="B280" s="17" t="s">
        <v>1429</v>
      </c>
      <c r="C280" s="18" t="s">
        <v>1430</v>
      </c>
      <c r="D280" s="19">
        <v>46017</v>
      </c>
      <c r="E280" s="49"/>
      <c r="F280" s="49"/>
      <c r="G280" s="20"/>
      <c r="H280" s="20"/>
      <c r="I280" s="21">
        <v>77.884399999999999</v>
      </c>
      <c r="J280" s="22">
        <f>ROUND(I280*H280,2)</f>
        <v>0</v>
      </c>
      <c r="K280" s="23" t="e">
        <f>ROUND(G280/J280,4)</f>
        <v>#DIV/0!</v>
      </c>
      <c r="L280" s="24" t="e">
        <f>1-K280</f>
        <v>#DIV/0!</v>
      </c>
      <c r="M280" s="25" t="s">
        <v>1431</v>
      </c>
      <c r="N280" s="25" t="s">
        <v>1432</v>
      </c>
      <c r="O280" s="26" t="s">
        <v>1433</v>
      </c>
      <c r="P280" s="27" t="s">
        <v>174</v>
      </c>
      <c r="Q280" s="27" t="s">
        <v>25</v>
      </c>
      <c r="R280" s="64" t="s">
        <v>26</v>
      </c>
      <c r="S280" s="29">
        <v>245</v>
      </c>
      <c r="T280" s="1"/>
    </row>
    <row r="281" spans="1:34" x14ac:dyDescent="0.3">
      <c r="A281" s="31">
        <v>277</v>
      </c>
      <c r="B281" s="32" t="s">
        <v>1434</v>
      </c>
      <c r="C281" s="33" t="s">
        <v>1435</v>
      </c>
      <c r="D281" s="19">
        <v>46017</v>
      </c>
      <c r="E281" s="49"/>
      <c r="F281" s="49"/>
      <c r="G281" s="20"/>
      <c r="H281" s="20"/>
      <c r="I281" s="21">
        <v>77.884399999999999</v>
      </c>
      <c r="J281" s="22">
        <f>ROUND(I281*H281,2)</f>
        <v>0</v>
      </c>
      <c r="K281" s="23" t="e">
        <f>ROUND(G281/J281,4)</f>
        <v>#DIV/0!</v>
      </c>
      <c r="L281" s="24" t="e">
        <f>1-K281</f>
        <v>#DIV/0!</v>
      </c>
      <c r="M281" s="25" t="s">
        <v>1436</v>
      </c>
      <c r="N281" s="25" t="s">
        <v>1437</v>
      </c>
      <c r="O281" s="26" t="s">
        <v>1438</v>
      </c>
      <c r="P281" s="27" t="s">
        <v>107</v>
      </c>
      <c r="Q281" s="27" t="s">
        <v>25</v>
      </c>
      <c r="R281" s="21" t="s">
        <v>39</v>
      </c>
      <c r="S281" s="29">
        <v>246</v>
      </c>
      <c r="T281" s="1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 spans="1:34" x14ac:dyDescent="0.3">
      <c r="A282" s="16">
        <v>278</v>
      </c>
      <c r="B282" s="17" t="s">
        <v>1439</v>
      </c>
      <c r="C282" s="18" t="s">
        <v>1440</v>
      </c>
      <c r="D282" s="19">
        <v>46017</v>
      </c>
      <c r="E282" s="49"/>
      <c r="F282" s="49"/>
      <c r="G282" s="20"/>
      <c r="H282" s="20"/>
      <c r="I282" s="21">
        <v>77.884399999999999</v>
      </c>
      <c r="J282" s="22">
        <f>ROUND(I282*H282,2)</f>
        <v>0</v>
      </c>
      <c r="K282" s="23" t="e">
        <f>ROUND(G282/J282,4)</f>
        <v>#DIV/0!</v>
      </c>
      <c r="L282" s="24" t="e">
        <f>1-K282</f>
        <v>#DIV/0!</v>
      </c>
      <c r="M282" s="25" t="s">
        <v>1441</v>
      </c>
      <c r="N282" s="25" t="s">
        <v>1442</v>
      </c>
      <c r="O282" s="26" t="s">
        <v>1443</v>
      </c>
      <c r="P282" s="27" t="s">
        <v>32</v>
      </c>
      <c r="Q282" s="27" t="s">
        <v>25</v>
      </c>
      <c r="R282" s="64" t="s">
        <v>39</v>
      </c>
      <c r="S282" s="29">
        <v>247</v>
      </c>
      <c r="T282" s="1"/>
    </row>
    <row r="283" spans="1:34" x14ac:dyDescent="0.3">
      <c r="A283" s="16">
        <v>279</v>
      </c>
      <c r="B283" s="17" t="s">
        <v>1444</v>
      </c>
      <c r="C283" s="18" t="s">
        <v>1445</v>
      </c>
      <c r="D283" s="19">
        <v>46017</v>
      </c>
      <c r="E283" s="49"/>
      <c r="F283" s="49"/>
      <c r="G283" s="20"/>
      <c r="H283" s="20"/>
      <c r="I283" s="21">
        <v>77.884399999999999</v>
      </c>
      <c r="J283" s="22">
        <f>ROUND(I283*H283,2)</f>
        <v>0</v>
      </c>
      <c r="K283" s="23" t="e">
        <f>ROUND(G283/J283,4)</f>
        <v>#DIV/0!</v>
      </c>
      <c r="L283" s="24" t="e">
        <f>1-K283</f>
        <v>#DIV/0!</v>
      </c>
      <c r="M283" s="25" t="s">
        <v>1446</v>
      </c>
      <c r="N283" s="25" t="s">
        <v>1447</v>
      </c>
      <c r="O283" s="26" t="s">
        <v>1448</v>
      </c>
      <c r="P283" s="27" t="s">
        <v>32</v>
      </c>
      <c r="Q283" s="27" t="s">
        <v>25</v>
      </c>
      <c r="R283" s="21" t="s">
        <v>26</v>
      </c>
      <c r="S283" s="29">
        <v>248</v>
      </c>
      <c r="T283" s="1"/>
    </row>
    <row r="284" spans="1:34" x14ac:dyDescent="0.3">
      <c r="A284" s="16">
        <v>280</v>
      </c>
      <c r="B284" s="17" t="s">
        <v>1449</v>
      </c>
      <c r="C284" s="18" t="s">
        <v>1450</v>
      </c>
      <c r="D284" s="19">
        <v>46017</v>
      </c>
      <c r="E284" s="49"/>
      <c r="F284" s="49"/>
      <c r="G284" s="20"/>
      <c r="H284" s="20"/>
      <c r="I284" s="21">
        <v>77.884399999999999</v>
      </c>
      <c r="J284" s="22">
        <f>ROUND(I284*H284,2)</f>
        <v>0</v>
      </c>
      <c r="K284" s="23" t="e">
        <f>ROUND(G284/J284,4)</f>
        <v>#DIV/0!</v>
      </c>
      <c r="L284" s="24" t="e">
        <f>1-K284</f>
        <v>#DIV/0!</v>
      </c>
      <c r="M284" s="25" t="s">
        <v>1451</v>
      </c>
      <c r="N284" s="25" t="s">
        <v>1452</v>
      </c>
      <c r="O284" s="26" t="s">
        <v>1453</v>
      </c>
      <c r="P284" s="27" t="s">
        <v>351</v>
      </c>
      <c r="Q284" s="27" t="s">
        <v>25</v>
      </c>
      <c r="R284" s="21" t="s">
        <v>26</v>
      </c>
      <c r="S284" s="29">
        <v>249</v>
      </c>
      <c r="T284" s="1"/>
    </row>
    <row r="285" spans="1:34" x14ac:dyDescent="0.3">
      <c r="A285" s="16">
        <v>281</v>
      </c>
      <c r="B285" s="17" t="s">
        <v>1454</v>
      </c>
      <c r="C285" s="18" t="s">
        <v>1455</v>
      </c>
      <c r="D285" s="19">
        <v>46017</v>
      </c>
      <c r="E285" s="49"/>
      <c r="F285" s="49"/>
      <c r="G285" s="20"/>
      <c r="H285" s="20"/>
      <c r="I285" s="21">
        <v>77.884399999999999</v>
      </c>
      <c r="J285" s="22">
        <f>ROUND(I285*H285,2)</f>
        <v>0</v>
      </c>
      <c r="K285" s="23" t="e">
        <f>ROUND(G285/J285,4)</f>
        <v>#DIV/0!</v>
      </c>
      <c r="L285" s="24" t="e">
        <f>1-K285</f>
        <v>#DIV/0!</v>
      </c>
      <c r="M285" s="25" t="s">
        <v>1456</v>
      </c>
      <c r="N285" s="25" t="s">
        <v>1457</v>
      </c>
      <c r="O285" s="26" t="s">
        <v>1458</v>
      </c>
      <c r="P285" s="27" t="s">
        <v>1459</v>
      </c>
      <c r="Q285" s="27" t="s">
        <v>25</v>
      </c>
      <c r="R285" s="21" t="s">
        <v>26</v>
      </c>
      <c r="S285" s="29">
        <v>250</v>
      </c>
      <c r="T285" s="1"/>
    </row>
    <row r="286" spans="1:34" x14ac:dyDescent="0.3">
      <c r="A286" s="16">
        <v>282</v>
      </c>
      <c r="B286" s="17" t="s">
        <v>1460</v>
      </c>
      <c r="C286" s="18" t="s">
        <v>1461</v>
      </c>
      <c r="D286" s="19">
        <v>46017</v>
      </c>
      <c r="E286" s="49"/>
      <c r="F286" s="49"/>
      <c r="G286" s="20"/>
      <c r="H286" s="20"/>
      <c r="I286" s="21">
        <v>77.884399999999999</v>
      </c>
      <c r="J286" s="22">
        <f>ROUND(I286*H286,2)</f>
        <v>0</v>
      </c>
      <c r="K286" s="23" t="e">
        <f>ROUND(G286/J286,4)</f>
        <v>#DIV/0!</v>
      </c>
      <c r="L286" s="24" t="e">
        <f>1-K286</f>
        <v>#DIV/0!</v>
      </c>
      <c r="M286" s="25" t="s">
        <v>1462</v>
      </c>
      <c r="N286" s="25" t="s">
        <v>1463</v>
      </c>
      <c r="O286" s="26" t="s">
        <v>1464</v>
      </c>
      <c r="P286" s="27" t="s">
        <v>746</v>
      </c>
      <c r="Q286" s="27" t="s">
        <v>25</v>
      </c>
      <c r="R286" s="64" t="s">
        <v>26</v>
      </c>
      <c r="S286" s="29">
        <v>251</v>
      </c>
      <c r="T286" s="1"/>
    </row>
    <row r="287" spans="1:34" x14ac:dyDescent="0.3">
      <c r="A287" s="16">
        <v>283</v>
      </c>
      <c r="B287" s="17" t="s">
        <v>1465</v>
      </c>
      <c r="C287" s="18" t="s">
        <v>1466</v>
      </c>
      <c r="D287" s="19">
        <v>46017</v>
      </c>
      <c r="E287" s="49"/>
      <c r="F287" s="49"/>
      <c r="G287" s="20"/>
      <c r="H287" s="20"/>
      <c r="I287" s="21">
        <v>77.884399999999999</v>
      </c>
      <c r="J287" s="22">
        <f>ROUND(I287*H287,2)</f>
        <v>0</v>
      </c>
      <c r="K287" s="23" t="e">
        <f>ROUND(G287/J287,4)</f>
        <v>#DIV/0!</v>
      </c>
      <c r="L287" s="24" t="e">
        <f>1-K287</f>
        <v>#DIV/0!</v>
      </c>
      <c r="M287" s="25" t="s">
        <v>1467</v>
      </c>
      <c r="N287" s="25" t="s">
        <v>1468</v>
      </c>
      <c r="O287" s="26" t="s">
        <v>1469</v>
      </c>
      <c r="P287" s="27" t="s">
        <v>68</v>
      </c>
      <c r="Q287" s="27" t="s">
        <v>25</v>
      </c>
      <c r="R287" s="21" t="s">
        <v>26</v>
      </c>
      <c r="S287" s="29">
        <v>252</v>
      </c>
      <c r="T287" s="1"/>
    </row>
    <row r="288" spans="1:34" x14ac:dyDescent="0.3">
      <c r="A288" s="16">
        <v>284</v>
      </c>
      <c r="B288" s="17" t="s">
        <v>1470</v>
      </c>
      <c r="C288" s="18" t="s">
        <v>1471</v>
      </c>
      <c r="D288" s="19">
        <v>46017</v>
      </c>
      <c r="E288" s="49"/>
      <c r="F288" s="49"/>
      <c r="G288" s="20"/>
      <c r="H288" s="20"/>
      <c r="I288" s="21">
        <v>77.884399999999999</v>
      </c>
      <c r="J288" s="22">
        <f>ROUND(I288*H288,2)</f>
        <v>0</v>
      </c>
      <c r="K288" s="23" t="e">
        <f>ROUND(G288/J288,4)</f>
        <v>#DIV/0!</v>
      </c>
      <c r="L288" s="24" t="e">
        <f>1-K288</f>
        <v>#DIV/0!</v>
      </c>
      <c r="M288" s="25" t="s">
        <v>1472</v>
      </c>
      <c r="N288" s="25" t="s">
        <v>1473</v>
      </c>
      <c r="O288" s="26" t="s">
        <v>1474</v>
      </c>
      <c r="P288" s="27" t="s">
        <v>580</v>
      </c>
      <c r="Q288" s="27" t="s">
        <v>25</v>
      </c>
      <c r="R288" s="21" t="s">
        <v>26</v>
      </c>
      <c r="S288" s="29">
        <v>253</v>
      </c>
      <c r="T288" s="1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 spans="1:34" x14ac:dyDescent="0.3">
      <c r="A289" s="16">
        <v>285</v>
      </c>
      <c r="B289" s="17" t="s">
        <v>1475</v>
      </c>
      <c r="C289" s="18" t="s">
        <v>1476</v>
      </c>
      <c r="D289" s="19">
        <v>46017</v>
      </c>
      <c r="E289" s="49"/>
      <c r="F289" s="49"/>
      <c r="G289" s="20"/>
      <c r="H289" s="20"/>
      <c r="I289" s="21">
        <v>77.884399999999999</v>
      </c>
      <c r="J289" s="22">
        <f>ROUND(I289*H289,2)</f>
        <v>0</v>
      </c>
      <c r="K289" s="23" t="e">
        <f>ROUND(G289/J289,4)</f>
        <v>#DIV/0!</v>
      </c>
      <c r="L289" s="24" t="e">
        <f>1-K289</f>
        <v>#DIV/0!</v>
      </c>
      <c r="M289" s="25" t="s">
        <v>1477</v>
      </c>
      <c r="N289" s="25" t="s">
        <v>1478</v>
      </c>
      <c r="O289" s="26" t="s">
        <v>1479</v>
      </c>
      <c r="P289" s="27" t="s">
        <v>32</v>
      </c>
      <c r="Q289" s="27" t="s">
        <v>25</v>
      </c>
      <c r="R289" s="64" t="s">
        <v>39</v>
      </c>
      <c r="S289" s="29">
        <v>254</v>
      </c>
      <c r="T289" s="1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 spans="1:34" x14ac:dyDescent="0.3">
      <c r="A290" s="16">
        <v>286</v>
      </c>
      <c r="B290" s="17" t="s">
        <v>1480</v>
      </c>
      <c r="C290" s="18" t="s">
        <v>1481</v>
      </c>
      <c r="D290" s="19">
        <v>46017</v>
      </c>
      <c r="E290" s="49"/>
      <c r="F290" s="49"/>
      <c r="G290" s="20"/>
      <c r="H290" s="20"/>
      <c r="I290" s="21">
        <v>77.884399999999999</v>
      </c>
      <c r="J290" s="22">
        <f>ROUND(I290*H290,2)</f>
        <v>0</v>
      </c>
      <c r="K290" s="23" t="e">
        <f>ROUND(G290/J290,4)</f>
        <v>#DIV/0!</v>
      </c>
      <c r="L290" s="24" t="e">
        <f>1-K290</f>
        <v>#DIV/0!</v>
      </c>
      <c r="M290" s="25" t="s">
        <v>1482</v>
      </c>
      <c r="N290" s="25" t="s">
        <v>1483</v>
      </c>
      <c r="O290" s="26" t="s">
        <v>1484</v>
      </c>
      <c r="P290" s="27" t="s">
        <v>38</v>
      </c>
      <c r="Q290" s="27" t="s">
        <v>25</v>
      </c>
      <c r="R290" s="21" t="s">
        <v>39</v>
      </c>
      <c r="S290" s="29">
        <v>255</v>
      </c>
      <c r="T290" s="1"/>
    </row>
    <row r="291" spans="1:34" x14ac:dyDescent="0.3">
      <c r="A291" s="16">
        <v>287</v>
      </c>
      <c r="B291" s="17" t="s">
        <v>1485</v>
      </c>
      <c r="C291" s="18" t="s">
        <v>1486</v>
      </c>
      <c r="D291" s="19">
        <v>46017</v>
      </c>
      <c r="E291" s="49"/>
      <c r="F291" s="49"/>
      <c r="G291" s="20"/>
      <c r="H291" s="20"/>
      <c r="I291" s="21">
        <v>77.884399999999999</v>
      </c>
      <c r="J291" s="22">
        <f>ROUND(I291*H291,2)</f>
        <v>0</v>
      </c>
      <c r="K291" s="23" t="e">
        <f>ROUND(G291/J291,4)</f>
        <v>#DIV/0!</v>
      </c>
      <c r="L291" s="24" t="e">
        <f>1-K291</f>
        <v>#DIV/0!</v>
      </c>
      <c r="M291" s="25" t="s">
        <v>1487</v>
      </c>
      <c r="N291" s="25" t="s">
        <v>1488</v>
      </c>
      <c r="O291" s="26" t="s">
        <v>1489</v>
      </c>
      <c r="P291" s="27" t="s">
        <v>414</v>
      </c>
      <c r="Q291" s="27" t="s">
        <v>25</v>
      </c>
      <c r="R291" s="21" t="s">
        <v>39</v>
      </c>
      <c r="S291" s="29">
        <v>256</v>
      </c>
      <c r="T291" s="1"/>
    </row>
    <row r="292" spans="1:34" x14ac:dyDescent="0.3">
      <c r="A292" s="16">
        <v>288</v>
      </c>
      <c r="B292" s="17" t="s">
        <v>1490</v>
      </c>
      <c r="C292" s="18" t="s">
        <v>1491</v>
      </c>
      <c r="D292" s="19">
        <v>46017</v>
      </c>
      <c r="E292" s="49"/>
      <c r="F292" s="49"/>
      <c r="G292" s="20"/>
      <c r="H292" s="20"/>
      <c r="I292" s="21">
        <v>77.884399999999999</v>
      </c>
      <c r="J292" s="22">
        <f>ROUND(I292*H292,2)</f>
        <v>0</v>
      </c>
      <c r="K292" s="23" t="e">
        <f>ROUND(G292/J292,4)</f>
        <v>#DIV/0!</v>
      </c>
      <c r="L292" s="24" t="e">
        <f>1-K292</f>
        <v>#DIV/0!</v>
      </c>
      <c r="M292" s="25" t="s">
        <v>1492</v>
      </c>
      <c r="N292" s="25" t="s">
        <v>1493</v>
      </c>
      <c r="O292" s="26" t="s">
        <v>1494</v>
      </c>
      <c r="P292" s="27" t="s">
        <v>918</v>
      </c>
      <c r="Q292" s="27" t="s">
        <v>25</v>
      </c>
      <c r="R292" s="21" t="s">
        <v>26</v>
      </c>
      <c r="S292" s="29">
        <v>257</v>
      </c>
      <c r="T292" s="1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 spans="1:34" x14ac:dyDescent="0.3">
      <c r="A293" s="16">
        <v>289</v>
      </c>
      <c r="B293" s="17" t="s">
        <v>1495</v>
      </c>
      <c r="C293" s="18" t="s">
        <v>1496</v>
      </c>
      <c r="D293" s="19">
        <v>46017</v>
      </c>
      <c r="E293" s="49"/>
      <c r="F293" s="49"/>
      <c r="G293" s="20"/>
      <c r="H293" s="20"/>
      <c r="I293" s="21">
        <v>77.884399999999999</v>
      </c>
      <c r="J293" s="22">
        <f>ROUND(I293*H293,2)</f>
        <v>0</v>
      </c>
      <c r="K293" s="23" t="e">
        <f>ROUND(G293/J293,4)</f>
        <v>#DIV/0!</v>
      </c>
      <c r="L293" s="24" t="e">
        <f>1-K293</f>
        <v>#DIV/0!</v>
      </c>
      <c r="M293" s="25" t="s">
        <v>1497</v>
      </c>
      <c r="N293" s="25" t="s">
        <v>1498</v>
      </c>
      <c r="O293" s="26" t="s">
        <v>1499</v>
      </c>
      <c r="P293" s="27" t="s">
        <v>250</v>
      </c>
      <c r="Q293" s="27" t="s">
        <v>25</v>
      </c>
      <c r="R293" s="21" t="s">
        <v>39</v>
      </c>
      <c r="S293" s="29">
        <v>258</v>
      </c>
      <c r="T293" s="1"/>
    </row>
    <row r="294" spans="1:34" x14ac:dyDescent="0.3">
      <c r="A294" s="16">
        <v>290</v>
      </c>
      <c r="B294" s="17" t="s">
        <v>1500</v>
      </c>
      <c r="C294" s="34" t="s">
        <v>1501</v>
      </c>
      <c r="D294" s="19">
        <v>46017</v>
      </c>
      <c r="E294" s="49"/>
      <c r="F294" s="49"/>
      <c r="G294" s="20"/>
      <c r="H294" s="20"/>
      <c r="I294" s="21">
        <v>77.884399999999999</v>
      </c>
      <c r="J294" s="22">
        <f>ROUND(I294*H294,2)</f>
        <v>0</v>
      </c>
      <c r="K294" s="23" t="e">
        <f>ROUND(G294/J294,4)</f>
        <v>#DIV/0!</v>
      </c>
      <c r="L294" s="24" t="e">
        <f>1-K294</f>
        <v>#DIV/0!</v>
      </c>
      <c r="M294" s="25" t="s">
        <v>1502</v>
      </c>
      <c r="N294" s="25" t="s">
        <v>1503</v>
      </c>
      <c r="O294" s="26" t="s">
        <v>1504</v>
      </c>
      <c r="P294" s="27" t="s">
        <v>250</v>
      </c>
      <c r="Q294" s="27" t="s">
        <v>25</v>
      </c>
      <c r="R294" s="21" t="s">
        <v>39</v>
      </c>
      <c r="S294" s="29">
        <v>259</v>
      </c>
      <c r="T294" s="1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 spans="1:34" x14ac:dyDescent="0.3">
      <c r="A295" s="31">
        <v>291</v>
      </c>
      <c r="B295" s="32" t="s">
        <v>1505</v>
      </c>
      <c r="C295" s="33" t="s">
        <v>1506</v>
      </c>
      <c r="D295" s="19">
        <v>46017</v>
      </c>
      <c r="E295" s="49"/>
      <c r="F295" s="49"/>
      <c r="G295" s="20"/>
      <c r="H295" s="20"/>
      <c r="I295" s="21">
        <v>77.884399999999999</v>
      </c>
      <c r="J295" s="22">
        <f>ROUND(I295*H295,2)</f>
        <v>0</v>
      </c>
      <c r="K295" s="23" t="e">
        <f>ROUND(G295/J295,4)</f>
        <v>#DIV/0!</v>
      </c>
      <c r="L295" s="24" t="e">
        <f>1-K295</f>
        <v>#DIV/0!</v>
      </c>
      <c r="M295" s="25" t="s">
        <v>1507</v>
      </c>
      <c r="N295" s="25" t="s">
        <v>1508</v>
      </c>
      <c r="O295" s="26" t="s">
        <v>1509</v>
      </c>
      <c r="P295" s="27" t="s">
        <v>1510</v>
      </c>
      <c r="Q295" s="27" t="s">
        <v>25</v>
      </c>
      <c r="R295" s="64" t="s">
        <v>26</v>
      </c>
      <c r="S295" s="29">
        <v>260</v>
      </c>
      <c r="T295" s="1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 spans="1:34" x14ac:dyDescent="0.3">
      <c r="A296" s="31">
        <v>292</v>
      </c>
      <c r="B296" s="26" t="s">
        <v>1511</v>
      </c>
      <c r="C296" s="27" t="s">
        <v>1512</v>
      </c>
      <c r="D296" s="19">
        <v>46017</v>
      </c>
      <c r="E296" s="49"/>
      <c r="F296" s="49"/>
      <c r="G296" s="20"/>
      <c r="H296" s="20"/>
      <c r="I296" s="21">
        <v>77.884399999999999</v>
      </c>
      <c r="J296" s="22">
        <f>ROUND(I296*H296,2)</f>
        <v>0</v>
      </c>
      <c r="K296" s="23" t="e">
        <f>ROUND(G296/J296,4)</f>
        <v>#DIV/0!</v>
      </c>
      <c r="L296" s="24" t="e">
        <f>1-K296</f>
        <v>#DIV/0!</v>
      </c>
      <c r="M296" s="25"/>
      <c r="N296" s="25"/>
      <c r="O296" s="26" t="s">
        <v>1513</v>
      </c>
      <c r="P296" s="27" t="s">
        <v>1085</v>
      </c>
      <c r="Q296" s="27" t="s">
        <v>100</v>
      </c>
      <c r="R296" s="64" t="s">
        <v>39</v>
      </c>
      <c r="S296" s="29"/>
      <c r="T296" s="1"/>
    </row>
    <row r="297" spans="1:34" x14ac:dyDescent="0.3">
      <c r="A297" s="16">
        <v>293</v>
      </c>
      <c r="B297" s="17" t="s">
        <v>1514</v>
      </c>
      <c r="C297" s="18" t="s">
        <v>1515</v>
      </c>
      <c r="D297" s="19">
        <v>46017</v>
      </c>
      <c r="E297" s="49"/>
      <c r="F297" s="49"/>
      <c r="G297" s="20"/>
      <c r="H297" s="20"/>
      <c r="I297" s="21">
        <v>77.884399999999999</v>
      </c>
      <c r="J297" s="22">
        <f>ROUND(I297*H297,2)</f>
        <v>0</v>
      </c>
      <c r="K297" s="23" t="e">
        <f>ROUND(G297/J297,4)</f>
        <v>#DIV/0!</v>
      </c>
      <c r="L297" s="24" t="e">
        <f>1-K297</f>
        <v>#DIV/0!</v>
      </c>
      <c r="M297" s="25" t="s">
        <v>1516</v>
      </c>
      <c r="N297" s="25" t="s">
        <v>1517</v>
      </c>
      <c r="O297" s="26" t="s">
        <v>1518</v>
      </c>
      <c r="P297" s="27" t="s">
        <v>1519</v>
      </c>
      <c r="Q297" s="27" t="s">
        <v>25</v>
      </c>
      <c r="R297" s="21" t="s">
        <v>26</v>
      </c>
      <c r="S297" s="29">
        <v>261</v>
      </c>
      <c r="T297" s="1"/>
    </row>
    <row r="298" spans="1:34" x14ac:dyDescent="0.3">
      <c r="A298" s="16">
        <v>294</v>
      </c>
      <c r="B298" s="17" t="s">
        <v>1520</v>
      </c>
      <c r="C298" s="18" t="s">
        <v>1521</v>
      </c>
      <c r="D298" s="19">
        <v>46017</v>
      </c>
      <c r="E298" s="49"/>
      <c r="F298" s="49"/>
      <c r="G298" s="20"/>
      <c r="H298" s="20"/>
      <c r="I298" s="21">
        <v>77.884399999999999</v>
      </c>
      <c r="J298" s="22">
        <f>ROUND(I298*H298,2)</f>
        <v>0</v>
      </c>
      <c r="K298" s="23" t="e">
        <f>ROUND(G298/J298,4)</f>
        <v>#DIV/0!</v>
      </c>
      <c r="L298" s="24" t="e">
        <f>1-K298</f>
        <v>#DIV/0!</v>
      </c>
      <c r="M298" s="25" t="s">
        <v>1522</v>
      </c>
      <c r="N298" s="25" t="s">
        <v>1523</v>
      </c>
      <c r="O298" s="26" t="s">
        <v>1524</v>
      </c>
      <c r="P298" s="27" t="s">
        <v>24</v>
      </c>
      <c r="Q298" s="27" t="s">
        <v>25</v>
      </c>
      <c r="R298" s="21" t="s">
        <v>26</v>
      </c>
      <c r="S298" s="29">
        <v>262</v>
      </c>
      <c r="T298" s="1"/>
    </row>
    <row r="299" spans="1:34" x14ac:dyDescent="0.3">
      <c r="A299" s="31">
        <v>295</v>
      </c>
      <c r="B299" s="32" t="s">
        <v>1525</v>
      </c>
      <c r="C299" s="33" t="s">
        <v>1526</v>
      </c>
      <c r="D299" s="19">
        <v>46017</v>
      </c>
      <c r="E299" s="49"/>
      <c r="F299" s="49"/>
      <c r="G299" s="20"/>
      <c r="H299" s="20"/>
      <c r="I299" s="21">
        <v>77.884399999999999</v>
      </c>
      <c r="J299" s="22">
        <f>ROUND(I299*H299,2)</f>
        <v>0</v>
      </c>
      <c r="K299" s="23" t="e">
        <f>ROUND(G299/J299,4)</f>
        <v>#DIV/0!</v>
      </c>
      <c r="L299" s="24" t="e">
        <f>1-K299</f>
        <v>#DIV/0!</v>
      </c>
      <c r="M299" s="25" t="s">
        <v>1527</v>
      </c>
      <c r="N299" s="25" t="s">
        <v>1528</v>
      </c>
      <c r="O299" s="26" t="s">
        <v>1529</v>
      </c>
      <c r="P299" s="27" t="s">
        <v>1530</v>
      </c>
      <c r="Q299" s="27" t="s">
        <v>25</v>
      </c>
      <c r="R299" s="21" t="s">
        <v>26</v>
      </c>
      <c r="S299" s="29">
        <v>263</v>
      </c>
      <c r="T299" s="1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 spans="1:34" x14ac:dyDescent="0.3">
      <c r="A300" s="16">
        <v>296</v>
      </c>
      <c r="B300" s="17" t="s">
        <v>1531</v>
      </c>
      <c r="C300" s="18" t="s">
        <v>1532</v>
      </c>
      <c r="D300" s="19">
        <v>46017</v>
      </c>
      <c r="E300" s="49"/>
      <c r="F300" s="49"/>
      <c r="G300" s="20"/>
      <c r="H300" s="20"/>
      <c r="I300" s="21">
        <v>77.884399999999999</v>
      </c>
      <c r="J300" s="22">
        <f>ROUND(I300*H300,2)</f>
        <v>0</v>
      </c>
      <c r="K300" s="23" t="e">
        <f>ROUND(G300/J300,4)</f>
        <v>#DIV/0!</v>
      </c>
      <c r="L300" s="24" t="e">
        <f>1-K300</f>
        <v>#DIV/0!</v>
      </c>
      <c r="M300" s="25" t="s">
        <v>1533</v>
      </c>
      <c r="N300" s="25" t="s">
        <v>1534</v>
      </c>
      <c r="O300" s="26" t="s">
        <v>1535</v>
      </c>
      <c r="P300" s="27" t="s">
        <v>308</v>
      </c>
      <c r="Q300" s="27" t="s">
        <v>25</v>
      </c>
      <c r="R300" s="64" t="s">
        <v>26</v>
      </c>
      <c r="S300" s="29">
        <v>264</v>
      </c>
      <c r="T300" s="1"/>
    </row>
    <row r="301" spans="1:34" x14ac:dyDescent="0.3">
      <c r="A301" s="31">
        <v>297</v>
      </c>
      <c r="B301" s="26" t="s">
        <v>1536</v>
      </c>
      <c r="C301" s="27" t="s">
        <v>1537</v>
      </c>
      <c r="D301" s="19">
        <v>46017</v>
      </c>
      <c r="E301" s="49"/>
      <c r="F301" s="49"/>
      <c r="G301" s="20"/>
      <c r="H301" s="20"/>
      <c r="I301" s="21">
        <v>77.884399999999999</v>
      </c>
      <c r="J301" s="22">
        <f>ROUND(I301*H301,2)</f>
        <v>0</v>
      </c>
      <c r="K301" s="23" t="e">
        <f>ROUND(G301/J301,4)</f>
        <v>#DIV/0!</v>
      </c>
      <c r="L301" s="24" t="e">
        <f>1-K301</f>
        <v>#DIV/0!</v>
      </c>
      <c r="M301" s="25"/>
      <c r="N301" s="25"/>
      <c r="O301" s="26" t="s">
        <v>1538</v>
      </c>
      <c r="P301" s="27" t="s">
        <v>1539</v>
      </c>
      <c r="Q301" s="27" t="s">
        <v>25</v>
      </c>
      <c r="R301" s="21" t="s">
        <v>39</v>
      </c>
      <c r="S301" s="29"/>
      <c r="T301" s="1"/>
    </row>
    <row r="302" spans="1:34" x14ac:dyDescent="0.3">
      <c r="A302" s="16">
        <v>298</v>
      </c>
      <c r="B302" s="17" t="s">
        <v>1540</v>
      </c>
      <c r="C302" s="18" t="s">
        <v>1541</v>
      </c>
      <c r="D302" s="19">
        <v>46017</v>
      </c>
      <c r="E302" s="49"/>
      <c r="F302" s="49"/>
      <c r="G302" s="20"/>
      <c r="H302" s="20"/>
      <c r="I302" s="21">
        <v>77.884399999999999</v>
      </c>
      <c r="J302" s="22">
        <f>ROUND(I302*H302,2)</f>
        <v>0</v>
      </c>
      <c r="K302" s="23" t="e">
        <f>ROUND(G302/J302,4)</f>
        <v>#DIV/0!</v>
      </c>
      <c r="L302" s="24" t="e">
        <f>1-K302</f>
        <v>#DIV/0!</v>
      </c>
      <c r="M302" s="25" t="s">
        <v>1542</v>
      </c>
      <c r="N302" s="25" t="s">
        <v>1543</v>
      </c>
      <c r="O302" s="26" t="s">
        <v>1544</v>
      </c>
      <c r="P302" s="27" t="s">
        <v>32</v>
      </c>
      <c r="Q302" s="27" t="s">
        <v>25</v>
      </c>
      <c r="R302" s="21" t="s">
        <v>39</v>
      </c>
      <c r="S302" s="29">
        <v>265</v>
      </c>
      <c r="T302" s="1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 spans="1:34" x14ac:dyDescent="0.3">
      <c r="A303" s="16">
        <v>299</v>
      </c>
      <c r="B303" s="17" t="s">
        <v>1545</v>
      </c>
      <c r="C303" s="18" t="s">
        <v>1546</v>
      </c>
      <c r="D303" s="19">
        <v>46017</v>
      </c>
      <c r="E303" s="49"/>
      <c r="F303" s="49"/>
      <c r="G303" s="20"/>
      <c r="H303" s="20"/>
      <c r="I303" s="21">
        <v>77.884399999999999</v>
      </c>
      <c r="J303" s="22">
        <f>ROUND(I303*H303,2)</f>
        <v>0</v>
      </c>
      <c r="K303" s="23" t="e">
        <f>ROUND(G303/J303,4)</f>
        <v>#DIV/0!</v>
      </c>
      <c r="L303" s="24" t="e">
        <f>1-K303</f>
        <v>#DIV/0!</v>
      </c>
      <c r="M303" s="25" t="s">
        <v>1547</v>
      </c>
      <c r="N303" s="25" t="s">
        <v>1548</v>
      </c>
      <c r="O303" s="26" t="s">
        <v>1549</v>
      </c>
      <c r="P303" s="27" t="s">
        <v>38</v>
      </c>
      <c r="Q303" s="27" t="s">
        <v>25</v>
      </c>
      <c r="R303" s="21" t="s">
        <v>39</v>
      </c>
      <c r="S303" s="29">
        <v>266</v>
      </c>
      <c r="T303" s="1"/>
    </row>
    <row r="304" spans="1:34" x14ac:dyDescent="0.3">
      <c r="A304" s="31">
        <v>300</v>
      </c>
      <c r="B304" s="26" t="s">
        <v>1550</v>
      </c>
      <c r="C304" s="27" t="s">
        <v>1551</v>
      </c>
      <c r="D304" s="19">
        <v>46017</v>
      </c>
      <c r="E304" s="49"/>
      <c r="F304" s="49"/>
      <c r="G304" s="20"/>
      <c r="H304" s="20"/>
      <c r="I304" s="21">
        <v>77.884399999999999</v>
      </c>
      <c r="J304" s="22">
        <f>ROUND(I304*H304,2)</f>
        <v>0</v>
      </c>
      <c r="K304" s="23" t="e">
        <f>ROUND(G304/J304,4)</f>
        <v>#DIV/0!</v>
      </c>
      <c r="L304" s="24" t="e">
        <f>1-K304</f>
        <v>#DIV/0!</v>
      </c>
      <c r="M304" s="25"/>
      <c r="N304" s="25"/>
      <c r="O304" s="26" t="s">
        <v>1552</v>
      </c>
      <c r="P304" s="27" t="s">
        <v>711</v>
      </c>
      <c r="Q304" s="27" t="s">
        <v>25</v>
      </c>
      <c r="R304" s="21" t="s">
        <v>39</v>
      </c>
      <c r="S304" s="29"/>
      <c r="T304" s="1"/>
    </row>
    <row r="305" spans="1:34" x14ac:dyDescent="0.3">
      <c r="A305" s="16">
        <v>301</v>
      </c>
      <c r="B305" s="17" t="s">
        <v>1553</v>
      </c>
      <c r="C305" s="18" t="s">
        <v>1554</v>
      </c>
      <c r="D305" s="19">
        <v>46017</v>
      </c>
      <c r="E305" s="49"/>
      <c r="F305" s="49"/>
      <c r="G305" s="20"/>
      <c r="H305" s="20"/>
      <c r="I305" s="21">
        <v>77.884399999999999</v>
      </c>
      <c r="J305" s="22">
        <f>ROUND(I305*H305,2)</f>
        <v>0</v>
      </c>
      <c r="K305" s="23" t="e">
        <f>ROUND(G305/J305,4)</f>
        <v>#DIV/0!</v>
      </c>
      <c r="L305" s="24" t="e">
        <f>1-K305</f>
        <v>#DIV/0!</v>
      </c>
      <c r="M305" s="25" t="s">
        <v>1555</v>
      </c>
      <c r="N305" s="25" t="s">
        <v>1556</v>
      </c>
      <c r="O305" s="26" t="s">
        <v>1557</v>
      </c>
      <c r="P305" s="27" t="s">
        <v>351</v>
      </c>
      <c r="Q305" s="27" t="s">
        <v>25</v>
      </c>
      <c r="R305" s="21" t="s">
        <v>39</v>
      </c>
      <c r="S305" s="29">
        <v>267</v>
      </c>
      <c r="T305" s="1"/>
    </row>
    <row r="306" spans="1:34" x14ac:dyDescent="0.3">
      <c r="A306" s="31">
        <v>302</v>
      </c>
      <c r="B306" s="26" t="s">
        <v>1558</v>
      </c>
      <c r="C306" s="27" t="s">
        <v>1559</v>
      </c>
      <c r="D306" s="19">
        <v>46017</v>
      </c>
      <c r="E306" s="49"/>
      <c r="F306" s="49"/>
      <c r="G306" s="20"/>
      <c r="H306" s="20"/>
      <c r="I306" s="21">
        <v>77.884399999999999</v>
      </c>
      <c r="J306" s="22">
        <f>ROUND(I306*H306,2)</f>
        <v>0</v>
      </c>
      <c r="K306" s="23" t="e">
        <f>ROUND(G306/J306,4)</f>
        <v>#DIV/0!</v>
      </c>
      <c r="L306" s="24" t="e">
        <f>1-K306</f>
        <v>#DIV/0!</v>
      </c>
      <c r="M306" s="25"/>
      <c r="N306" s="25"/>
      <c r="O306" s="26" t="s">
        <v>1560</v>
      </c>
      <c r="P306" s="27" t="s">
        <v>1561</v>
      </c>
      <c r="Q306" s="27" t="s">
        <v>25</v>
      </c>
      <c r="R306" s="21" t="s">
        <v>39</v>
      </c>
      <c r="S306" s="29"/>
      <c r="T306" s="1"/>
    </row>
    <row r="307" spans="1:34" x14ac:dyDescent="0.3">
      <c r="A307" s="16">
        <v>303</v>
      </c>
      <c r="B307" s="17" t="s">
        <v>1562</v>
      </c>
      <c r="C307" s="18" t="s">
        <v>1563</v>
      </c>
      <c r="D307" s="19">
        <v>46017</v>
      </c>
      <c r="E307" s="49"/>
      <c r="F307" s="49"/>
      <c r="G307" s="20"/>
      <c r="H307" s="20"/>
      <c r="I307" s="21">
        <v>77.884399999999999</v>
      </c>
      <c r="J307" s="22">
        <f>ROUND(I307*H307,2)</f>
        <v>0</v>
      </c>
      <c r="K307" s="23" t="e">
        <f>ROUND(G307/J307,4)</f>
        <v>#DIV/0!</v>
      </c>
      <c r="L307" s="24" t="e">
        <f>1-K307</f>
        <v>#DIV/0!</v>
      </c>
      <c r="M307" s="25" t="s">
        <v>1564</v>
      </c>
      <c r="N307" s="25" t="s">
        <v>1565</v>
      </c>
      <c r="O307" s="26" t="s">
        <v>1566</v>
      </c>
      <c r="P307" s="27" t="s">
        <v>580</v>
      </c>
      <c r="Q307" s="27" t="s">
        <v>25</v>
      </c>
      <c r="R307" s="21" t="s">
        <v>39</v>
      </c>
      <c r="S307" s="29">
        <v>268</v>
      </c>
      <c r="T307" s="1"/>
    </row>
    <row r="308" spans="1:34" x14ac:dyDescent="0.3">
      <c r="A308" s="16">
        <v>304</v>
      </c>
      <c r="B308" s="17" t="s">
        <v>1567</v>
      </c>
      <c r="C308" s="18" t="s">
        <v>1568</v>
      </c>
      <c r="D308" s="19">
        <v>46017</v>
      </c>
      <c r="E308" s="49"/>
      <c r="F308" s="49"/>
      <c r="G308" s="20"/>
      <c r="H308" s="20"/>
      <c r="I308" s="21">
        <v>77.884399999999999</v>
      </c>
      <c r="J308" s="22">
        <f>ROUND(I308*H308,2)</f>
        <v>0</v>
      </c>
      <c r="K308" s="23" t="e">
        <f>ROUND(G308/J308,4)</f>
        <v>#DIV/0!</v>
      </c>
      <c r="L308" s="24" t="e">
        <f>1-K308</f>
        <v>#DIV/0!</v>
      </c>
      <c r="M308" s="25" t="s">
        <v>1569</v>
      </c>
      <c r="N308" s="25" t="s">
        <v>1570</v>
      </c>
      <c r="O308" s="26" t="s">
        <v>1571</v>
      </c>
      <c r="P308" s="27" t="s">
        <v>68</v>
      </c>
      <c r="Q308" s="27" t="s">
        <v>25</v>
      </c>
      <c r="R308" s="21" t="s">
        <v>26</v>
      </c>
      <c r="S308" s="29">
        <v>269</v>
      </c>
      <c r="T308" s="1"/>
    </row>
    <row r="309" spans="1:34" x14ac:dyDescent="0.3">
      <c r="A309" s="16">
        <v>305</v>
      </c>
      <c r="B309" s="17" t="s">
        <v>1572</v>
      </c>
      <c r="C309" s="18" t="s">
        <v>1573</v>
      </c>
      <c r="D309" s="19">
        <v>46017</v>
      </c>
      <c r="E309" s="49"/>
      <c r="F309" s="49"/>
      <c r="G309" s="20"/>
      <c r="H309" s="20"/>
      <c r="I309" s="21">
        <v>77.884399999999999</v>
      </c>
      <c r="J309" s="22">
        <f>ROUND(I309*H309,2)</f>
        <v>0</v>
      </c>
      <c r="K309" s="23" t="e">
        <f>ROUND(G309/J309,4)</f>
        <v>#DIV/0!</v>
      </c>
      <c r="L309" s="24" t="e">
        <f>1-K309</f>
        <v>#DIV/0!</v>
      </c>
      <c r="M309" s="25" t="s">
        <v>1574</v>
      </c>
      <c r="N309" s="25" t="s">
        <v>1575</v>
      </c>
      <c r="O309" s="26" t="s">
        <v>1576</v>
      </c>
      <c r="P309" s="27" t="s">
        <v>134</v>
      </c>
      <c r="Q309" s="27" t="s">
        <v>25</v>
      </c>
      <c r="R309" s="21" t="s">
        <v>39</v>
      </c>
      <c r="S309" s="29">
        <v>270</v>
      </c>
      <c r="T309" s="1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 spans="1:34" x14ac:dyDescent="0.3">
      <c r="A310" s="31">
        <v>306</v>
      </c>
      <c r="B310" s="32" t="s">
        <v>1577</v>
      </c>
      <c r="C310" s="33" t="s">
        <v>1578</v>
      </c>
      <c r="D310" s="19">
        <v>46017</v>
      </c>
      <c r="E310" s="49"/>
      <c r="F310" s="49"/>
      <c r="G310" s="20"/>
      <c r="H310" s="20"/>
      <c r="I310" s="21">
        <v>77.884399999999999</v>
      </c>
      <c r="J310" s="22">
        <f>ROUND(I310*H310,2)</f>
        <v>0</v>
      </c>
      <c r="K310" s="23" t="e">
        <f>ROUND(G310/J310,4)</f>
        <v>#DIV/0!</v>
      </c>
      <c r="L310" s="24" t="e">
        <f>1-K310</f>
        <v>#DIV/0!</v>
      </c>
      <c r="M310" s="25" t="s">
        <v>1579</v>
      </c>
      <c r="N310" s="25" t="s">
        <v>1580</v>
      </c>
      <c r="O310" s="26" t="s">
        <v>1581</v>
      </c>
      <c r="P310" s="27" t="s">
        <v>281</v>
      </c>
      <c r="Q310" s="27" t="s">
        <v>25</v>
      </c>
      <c r="R310" s="64" t="s">
        <v>26</v>
      </c>
      <c r="S310" s="29">
        <v>271</v>
      </c>
      <c r="T310" s="1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 x14ac:dyDescent="0.3">
      <c r="A311" s="16">
        <v>307</v>
      </c>
      <c r="B311" s="17" t="s">
        <v>1582</v>
      </c>
      <c r="C311" s="18" t="s">
        <v>1583</v>
      </c>
      <c r="D311" s="19">
        <v>46017</v>
      </c>
      <c r="E311" s="49"/>
      <c r="F311" s="49"/>
      <c r="G311" s="20"/>
      <c r="H311" s="20"/>
      <c r="I311" s="21">
        <v>77.884399999999999</v>
      </c>
      <c r="J311" s="22">
        <f>ROUND(I311*H311,2)</f>
        <v>0</v>
      </c>
      <c r="K311" s="23" t="e">
        <f>ROUND(G311/J311,4)</f>
        <v>#DIV/0!</v>
      </c>
      <c r="L311" s="24" t="e">
        <f>1-K311</f>
        <v>#DIV/0!</v>
      </c>
      <c r="M311" s="25" t="s">
        <v>1584</v>
      </c>
      <c r="N311" s="25" t="s">
        <v>1585</v>
      </c>
      <c r="O311" s="26" t="s">
        <v>1586</v>
      </c>
      <c r="P311" s="27" t="s">
        <v>32</v>
      </c>
      <c r="Q311" s="27" t="s">
        <v>25</v>
      </c>
      <c r="R311" s="64" t="s">
        <v>39</v>
      </c>
      <c r="S311" s="29">
        <v>272</v>
      </c>
      <c r="T311" s="1"/>
    </row>
    <row r="312" spans="1:34" x14ac:dyDescent="0.3">
      <c r="A312" s="16">
        <v>308</v>
      </c>
      <c r="B312" s="17" t="s">
        <v>1587</v>
      </c>
      <c r="C312" s="18" t="s">
        <v>1588</v>
      </c>
      <c r="D312" s="19">
        <v>46017</v>
      </c>
      <c r="E312" s="49"/>
      <c r="F312" s="49"/>
      <c r="G312" s="20"/>
      <c r="H312" s="20"/>
      <c r="I312" s="21">
        <v>77.884399999999999</v>
      </c>
      <c r="J312" s="22">
        <f>ROUND(I312*H312,2)</f>
        <v>0</v>
      </c>
      <c r="K312" s="23" t="e">
        <f>ROUND(G312/J312,4)</f>
        <v>#DIV/0!</v>
      </c>
      <c r="L312" s="24" t="e">
        <f>1-K312</f>
        <v>#DIV/0!</v>
      </c>
      <c r="M312" s="25" t="s">
        <v>1589</v>
      </c>
      <c r="N312" s="25" t="s">
        <v>1590</v>
      </c>
      <c r="O312" s="26" t="s">
        <v>1591</v>
      </c>
      <c r="P312" s="27" t="s">
        <v>32</v>
      </c>
      <c r="Q312" s="27" t="s">
        <v>25</v>
      </c>
      <c r="R312" s="21" t="s">
        <v>39</v>
      </c>
      <c r="S312" s="29">
        <v>273</v>
      </c>
      <c r="T312" s="1"/>
    </row>
    <row r="313" spans="1:34" x14ac:dyDescent="0.3">
      <c r="A313" s="16">
        <v>309</v>
      </c>
      <c r="B313" s="17" t="s">
        <v>1592</v>
      </c>
      <c r="C313" s="18" t="s">
        <v>1593</v>
      </c>
      <c r="D313" s="19">
        <v>46017</v>
      </c>
      <c r="E313" s="49"/>
      <c r="F313" s="49"/>
      <c r="G313" s="20"/>
      <c r="H313" s="20"/>
      <c r="I313" s="21">
        <v>77.884399999999999</v>
      </c>
      <c r="J313" s="22">
        <f>ROUND(I313*H313,2)</f>
        <v>0</v>
      </c>
      <c r="K313" s="23" t="e">
        <f>ROUND(G313/J313,4)</f>
        <v>#DIV/0!</v>
      </c>
      <c r="L313" s="24" t="e">
        <f>1-K313</f>
        <v>#DIV/0!</v>
      </c>
      <c r="M313" s="25" t="s">
        <v>1594</v>
      </c>
      <c r="N313" s="25" t="s">
        <v>1595</v>
      </c>
      <c r="O313" s="26" t="s">
        <v>1596</v>
      </c>
      <c r="P313" s="27" t="s">
        <v>32</v>
      </c>
      <c r="Q313" s="27" t="s">
        <v>25</v>
      </c>
      <c r="R313" s="21" t="s">
        <v>39</v>
      </c>
      <c r="S313" s="29">
        <v>274</v>
      </c>
      <c r="T313" s="1"/>
    </row>
    <row r="314" spans="1:34" x14ac:dyDescent="0.3">
      <c r="A314" s="16">
        <v>310</v>
      </c>
      <c r="B314" s="17" t="s">
        <v>1597</v>
      </c>
      <c r="C314" s="34" t="s">
        <v>1598</v>
      </c>
      <c r="D314" s="19">
        <v>46017</v>
      </c>
      <c r="E314" s="49"/>
      <c r="F314" s="49"/>
      <c r="G314" s="20"/>
      <c r="H314" s="20"/>
      <c r="I314" s="21">
        <v>77.884399999999999</v>
      </c>
      <c r="J314" s="22">
        <f>ROUND(I314*H314,2)</f>
        <v>0</v>
      </c>
      <c r="K314" s="23" t="e">
        <f>ROUND(G314/J314,4)</f>
        <v>#DIV/0!</v>
      </c>
      <c r="L314" s="24" t="e">
        <f>1-K314</f>
        <v>#DIV/0!</v>
      </c>
      <c r="M314" s="25" t="s">
        <v>1599</v>
      </c>
      <c r="N314" s="25" t="s">
        <v>1600</v>
      </c>
      <c r="O314" s="26" t="s">
        <v>1601</v>
      </c>
      <c r="P314" s="27" t="s">
        <v>580</v>
      </c>
      <c r="Q314" s="27" t="s">
        <v>25</v>
      </c>
      <c r="R314" s="21" t="s">
        <v>26</v>
      </c>
      <c r="S314" s="29">
        <v>275</v>
      </c>
      <c r="T314" s="1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 spans="1:34" x14ac:dyDescent="0.3">
      <c r="A315" s="16">
        <v>311</v>
      </c>
      <c r="B315" s="17" t="s">
        <v>1602</v>
      </c>
      <c r="C315" s="18" t="s">
        <v>1603</v>
      </c>
      <c r="D315" s="19">
        <v>46017</v>
      </c>
      <c r="E315" s="49"/>
      <c r="F315" s="49"/>
      <c r="G315" s="20"/>
      <c r="H315" s="20"/>
      <c r="I315" s="21">
        <v>77.884399999999999</v>
      </c>
      <c r="J315" s="22">
        <f>ROUND(I315*H315,2)</f>
        <v>0</v>
      </c>
      <c r="K315" s="23" t="e">
        <f>ROUND(G315/J315,4)</f>
        <v>#DIV/0!</v>
      </c>
      <c r="L315" s="24" t="e">
        <f>1-K315</f>
        <v>#DIV/0!</v>
      </c>
      <c r="M315" s="25" t="s">
        <v>1604</v>
      </c>
      <c r="N315" s="25" t="s">
        <v>1605</v>
      </c>
      <c r="O315" s="26" t="s">
        <v>1606</v>
      </c>
      <c r="P315" s="27" t="s">
        <v>1248</v>
      </c>
      <c r="Q315" s="27" t="s">
        <v>25</v>
      </c>
      <c r="R315" s="64" t="s">
        <v>26</v>
      </c>
      <c r="S315" s="29">
        <v>276</v>
      </c>
      <c r="T315" s="1"/>
    </row>
    <row r="316" spans="1:34" x14ac:dyDescent="0.3">
      <c r="A316" s="31">
        <v>312</v>
      </c>
      <c r="B316" s="32" t="s">
        <v>1607</v>
      </c>
      <c r="C316" s="33" t="s">
        <v>1608</v>
      </c>
      <c r="D316" s="19">
        <v>46017</v>
      </c>
      <c r="E316" s="49"/>
      <c r="F316" s="49"/>
      <c r="G316" s="20"/>
      <c r="H316" s="20"/>
      <c r="I316" s="21">
        <v>77.884399999999999</v>
      </c>
      <c r="J316" s="22">
        <f>ROUND(I316*H316,2)</f>
        <v>0</v>
      </c>
      <c r="K316" s="23" t="e">
        <f>ROUND(G316/J316,4)</f>
        <v>#DIV/0!</v>
      </c>
      <c r="L316" s="24" t="e">
        <f>1-K316</f>
        <v>#DIV/0!</v>
      </c>
      <c r="M316" s="25" t="s">
        <v>1609</v>
      </c>
      <c r="N316" s="25" t="s">
        <v>1610</v>
      </c>
      <c r="O316" s="50" t="s">
        <v>1611</v>
      </c>
      <c r="P316" s="51" t="s">
        <v>428</v>
      </c>
      <c r="Q316" s="51" t="s">
        <v>25</v>
      </c>
      <c r="R316" s="64" t="s">
        <v>26</v>
      </c>
      <c r="S316" s="29">
        <v>277</v>
      </c>
      <c r="T316" s="1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 spans="1:34" x14ac:dyDescent="0.3">
      <c r="A317" s="16">
        <v>313</v>
      </c>
      <c r="B317" s="17" t="s">
        <v>1612</v>
      </c>
      <c r="C317" s="18" t="s">
        <v>1613</v>
      </c>
      <c r="D317" s="19">
        <v>46017</v>
      </c>
      <c r="E317" s="49"/>
      <c r="F317" s="49"/>
      <c r="G317" s="20"/>
      <c r="H317" s="20"/>
      <c r="I317" s="21">
        <v>77.884399999999999</v>
      </c>
      <c r="J317" s="22">
        <f>ROUND(I317*H317,2)</f>
        <v>0</v>
      </c>
      <c r="K317" s="23" t="e">
        <f>ROUND(G317/J317,4)</f>
        <v>#DIV/0!</v>
      </c>
      <c r="L317" s="24" t="e">
        <f>1-K317</f>
        <v>#DIV/0!</v>
      </c>
      <c r="M317" s="25" t="s">
        <v>1614</v>
      </c>
      <c r="N317" s="25" t="s">
        <v>1615</v>
      </c>
      <c r="O317" s="26" t="s">
        <v>1616</v>
      </c>
      <c r="P317" s="27" t="s">
        <v>1617</v>
      </c>
      <c r="Q317" s="27" t="s">
        <v>25</v>
      </c>
      <c r="R317" s="66" t="s">
        <v>39</v>
      </c>
      <c r="S317" s="29">
        <v>278</v>
      </c>
      <c r="T317" s="1"/>
    </row>
    <row r="318" spans="1:34" x14ac:dyDescent="0.3">
      <c r="A318" s="16">
        <v>314</v>
      </c>
      <c r="B318" s="17" t="s">
        <v>1618</v>
      </c>
      <c r="C318" s="18" t="s">
        <v>1619</v>
      </c>
      <c r="D318" s="19">
        <v>46017</v>
      </c>
      <c r="E318" s="49"/>
      <c r="F318" s="49"/>
      <c r="G318" s="20"/>
      <c r="H318" s="20"/>
      <c r="I318" s="21">
        <v>77.884399999999999</v>
      </c>
      <c r="J318" s="22">
        <f>ROUND(I318*H318,2)</f>
        <v>0</v>
      </c>
      <c r="K318" s="23" t="e">
        <f>ROUND(G318/J318,4)</f>
        <v>#DIV/0!</v>
      </c>
      <c r="L318" s="24" t="e">
        <f>1-K318</f>
        <v>#DIV/0!</v>
      </c>
      <c r="M318" s="25" t="s">
        <v>1620</v>
      </c>
      <c r="N318" s="25" t="s">
        <v>1621</v>
      </c>
      <c r="O318" s="26" t="s">
        <v>1622</v>
      </c>
      <c r="P318" s="27" t="s">
        <v>580</v>
      </c>
      <c r="Q318" s="27" t="s">
        <v>25</v>
      </c>
      <c r="R318" s="21" t="s">
        <v>26</v>
      </c>
      <c r="S318" s="29">
        <v>279</v>
      </c>
      <c r="T318" s="1"/>
    </row>
    <row r="319" spans="1:34" x14ac:dyDescent="0.3">
      <c r="A319" s="16">
        <v>315</v>
      </c>
      <c r="B319" s="17" t="s">
        <v>1623</v>
      </c>
      <c r="C319" s="18" t="s">
        <v>1624</v>
      </c>
      <c r="D319" s="19">
        <v>46017</v>
      </c>
      <c r="E319" s="49"/>
      <c r="F319" s="49"/>
      <c r="G319" s="20"/>
      <c r="H319" s="20"/>
      <c r="I319" s="21">
        <v>77.884399999999999</v>
      </c>
      <c r="J319" s="22">
        <f>ROUND(I319*H319,2)</f>
        <v>0</v>
      </c>
      <c r="K319" s="23" t="e">
        <f>ROUND(G319/J319,4)</f>
        <v>#DIV/0!</v>
      </c>
      <c r="L319" s="24" t="e">
        <f>1-K319</f>
        <v>#DIV/0!</v>
      </c>
      <c r="M319" s="25" t="s">
        <v>1625</v>
      </c>
      <c r="N319" s="25" t="s">
        <v>1626</v>
      </c>
      <c r="O319" s="26" t="s">
        <v>1627</v>
      </c>
      <c r="P319" s="27" t="s">
        <v>1519</v>
      </c>
      <c r="Q319" s="27" t="s">
        <v>25</v>
      </c>
      <c r="R319" s="21" t="s">
        <v>26</v>
      </c>
      <c r="S319" s="29">
        <v>280</v>
      </c>
      <c r="T319" s="1"/>
    </row>
    <row r="320" spans="1:34" x14ac:dyDescent="0.3">
      <c r="A320" s="16">
        <v>316</v>
      </c>
      <c r="B320" s="17" t="s">
        <v>1628</v>
      </c>
      <c r="C320" s="18" t="s">
        <v>1629</v>
      </c>
      <c r="D320" s="19">
        <v>46017</v>
      </c>
      <c r="E320" s="49"/>
      <c r="F320" s="49"/>
      <c r="G320" s="20"/>
      <c r="H320" s="20"/>
      <c r="I320" s="21">
        <v>77.884399999999999</v>
      </c>
      <c r="J320" s="22">
        <f>ROUND(I320*H320,2)</f>
        <v>0</v>
      </c>
      <c r="K320" s="23" t="e">
        <f>ROUND(G320/J320,4)</f>
        <v>#DIV/0!</v>
      </c>
      <c r="L320" s="24" t="e">
        <f>1-K320</f>
        <v>#DIV/0!</v>
      </c>
      <c r="M320" s="25" t="s">
        <v>1630</v>
      </c>
      <c r="N320" s="25" t="s">
        <v>1631</v>
      </c>
      <c r="O320" s="26" t="s">
        <v>1632</v>
      </c>
      <c r="P320" s="27" t="s">
        <v>1085</v>
      </c>
      <c r="Q320" s="27" t="s">
        <v>25</v>
      </c>
      <c r="R320" s="21" t="s">
        <v>39</v>
      </c>
      <c r="S320" s="29">
        <v>281</v>
      </c>
      <c r="T320" s="1"/>
    </row>
    <row r="321" spans="1:34" x14ac:dyDescent="0.3">
      <c r="A321" s="16">
        <v>317</v>
      </c>
      <c r="B321" s="17" t="s">
        <v>1633</v>
      </c>
      <c r="C321" s="18" t="s">
        <v>1634</v>
      </c>
      <c r="D321" s="19">
        <v>46017</v>
      </c>
      <c r="E321" s="49"/>
      <c r="F321" s="49"/>
      <c r="G321" s="20"/>
      <c r="H321" s="20"/>
      <c r="I321" s="21">
        <v>77.884399999999999</v>
      </c>
      <c r="J321" s="22">
        <f>ROUND(I321*H321,2)</f>
        <v>0</v>
      </c>
      <c r="K321" s="23" t="e">
        <f>ROUND(G321/J321,4)</f>
        <v>#DIV/0!</v>
      </c>
      <c r="L321" s="24" t="e">
        <f>1-K321</f>
        <v>#DIV/0!</v>
      </c>
      <c r="M321" s="25" t="s">
        <v>1635</v>
      </c>
      <c r="N321" s="25" t="s">
        <v>1636</v>
      </c>
      <c r="O321" s="26" t="s">
        <v>1637</v>
      </c>
      <c r="P321" s="27" t="s">
        <v>622</v>
      </c>
      <c r="Q321" s="27" t="s">
        <v>25</v>
      </c>
      <c r="R321" s="64" t="s">
        <v>39</v>
      </c>
      <c r="S321" s="29">
        <v>282</v>
      </c>
      <c r="T321" s="1"/>
    </row>
    <row r="322" spans="1:34" x14ac:dyDescent="0.3">
      <c r="A322" s="16">
        <v>318</v>
      </c>
      <c r="B322" s="17" t="s">
        <v>1638</v>
      </c>
      <c r="C322" s="18" t="s">
        <v>1639</v>
      </c>
      <c r="D322" s="19">
        <v>46017</v>
      </c>
      <c r="E322" s="49"/>
      <c r="F322" s="49"/>
      <c r="G322" s="20"/>
      <c r="H322" s="20"/>
      <c r="I322" s="21">
        <v>77.884399999999999</v>
      </c>
      <c r="J322" s="22">
        <f>ROUND(I322*H322,2)</f>
        <v>0</v>
      </c>
      <c r="K322" s="23" t="e">
        <f>ROUND(G322/J322,4)</f>
        <v>#DIV/0!</v>
      </c>
      <c r="L322" s="24" t="e">
        <f>1-K322</f>
        <v>#DIV/0!</v>
      </c>
      <c r="M322" s="25" t="s">
        <v>1640</v>
      </c>
      <c r="N322" s="25" t="s">
        <v>1641</v>
      </c>
      <c r="O322" s="26" t="s">
        <v>1642</v>
      </c>
      <c r="P322" s="27" t="s">
        <v>24</v>
      </c>
      <c r="Q322" s="27" t="s">
        <v>25</v>
      </c>
      <c r="R322" s="21" t="s">
        <v>39</v>
      </c>
      <c r="S322" s="29">
        <v>283</v>
      </c>
      <c r="T322" s="1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 spans="1:34" x14ac:dyDescent="0.3">
      <c r="A323" s="16">
        <v>319</v>
      </c>
      <c r="B323" s="17" t="s">
        <v>1643</v>
      </c>
      <c r="C323" s="18" t="s">
        <v>1644</v>
      </c>
      <c r="D323" s="19">
        <v>46017</v>
      </c>
      <c r="E323" s="49"/>
      <c r="F323" s="49"/>
      <c r="G323" s="20"/>
      <c r="H323" s="20"/>
      <c r="I323" s="21">
        <v>77.884399999999999</v>
      </c>
      <c r="J323" s="22">
        <f>ROUND(I323*H323,2)</f>
        <v>0</v>
      </c>
      <c r="K323" s="23" t="e">
        <f>ROUND(G323/J323,4)</f>
        <v>#DIV/0!</v>
      </c>
      <c r="L323" s="24" t="e">
        <f>1-K323</f>
        <v>#DIV/0!</v>
      </c>
      <c r="M323" s="25" t="s">
        <v>1645</v>
      </c>
      <c r="N323" s="25" t="s">
        <v>1646</v>
      </c>
      <c r="O323" s="26" t="s">
        <v>1647</v>
      </c>
      <c r="P323" s="27" t="s">
        <v>319</v>
      </c>
      <c r="Q323" s="27" t="s">
        <v>25</v>
      </c>
      <c r="R323" s="21" t="s">
        <v>26</v>
      </c>
      <c r="S323" s="29">
        <v>284</v>
      </c>
      <c r="T323" s="1"/>
    </row>
    <row r="324" spans="1:34" x14ac:dyDescent="0.3">
      <c r="A324" s="16">
        <v>320</v>
      </c>
      <c r="B324" s="17" t="s">
        <v>1648</v>
      </c>
      <c r="C324" s="18" t="s">
        <v>1649</v>
      </c>
      <c r="D324" s="19">
        <v>46017</v>
      </c>
      <c r="E324" s="49"/>
      <c r="F324" s="49"/>
      <c r="G324" s="20"/>
      <c r="H324" s="20"/>
      <c r="I324" s="21">
        <v>77.884399999999999</v>
      </c>
      <c r="J324" s="22">
        <f>ROUND(I324*H324,2)</f>
        <v>0</v>
      </c>
      <c r="K324" s="23" t="e">
        <f>ROUND(G324/J324,4)</f>
        <v>#DIV/0!</v>
      </c>
      <c r="L324" s="24" t="e">
        <f>1-K324</f>
        <v>#DIV/0!</v>
      </c>
      <c r="M324" s="25" t="s">
        <v>1650</v>
      </c>
      <c r="N324" s="25" t="s">
        <v>1651</v>
      </c>
      <c r="O324" s="26" t="s">
        <v>1652</v>
      </c>
      <c r="P324" s="27" t="s">
        <v>1100</v>
      </c>
      <c r="Q324" s="27" t="s">
        <v>25</v>
      </c>
      <c r="R324" s="21" t="s">
        <v>26</v>
      </c>
      <c r="S324" s="29">
        <v>285</v>
      </c>
      <c r="T324" s="1"/>
    </row>
    <row r="325" spans="1:34" x14ac:dyDescent="0.3">
      <c r="A325" s="31">
        <v>321</v>
      </c>
      <c r="B325" s="26" t="s">
        <v>1653</v>
      </c>
      <c r="C325" s="27" t="s">
        <v>1654</v>
      </c>
      <c r="D325" s="19">
        <v>46017</v>
      </c>
      <c r="E325" s="49"/>
      <c r="F325" s="49"/>
      <c r="G325" s="20"/>
      <c r="H325" s="20"/>
      <c r="I325" s="21">
        <v>77.884399999999999</v>
      </c>
      <c r="J325" s="22">
        <f>ROUND(I325*H325,2)</f>
        <v>0</v>
      </c>
      <c r="K325" s="23" t="e">
        <f>ROUND(G325/J325,4)</f>
        <v>#DIV/0!</v>
      </c>
      <c r="L325" s="24" t="e">
        <f>1-K325</f>
        <v>#DIV/0!</v>
      </c>
      <c r="M325" s="25"/>
      <c r="N325" s="25"/>
      <c r="O325" s="26" t="s">
        <v>1655</v>
      </c>
      <c r="P325" s="27" t="s">
        <v>1656</v>
      </c>
      <c r="Q325" s="27" t="s">
        <v>25</v>
      </c>
      <c r="R325" s="21" t="s">
        <v>39</v>
      </c>
      <c r="S325" s="29"/>
      <c r="T325" s="1"/>
    </row>
    <row r="326" spans="1:34" x14ac:dyDescent="0.3">
      <c r="A326" s="16">
        <v>322</v>
      </c>
      <c r="B326" s="17" t="s">
        <v>1657</v>
      </c>
      <c r="C326" s="18" t="s">
        <v>1658</v>
      </c>
      <c r="D326" s="19">
        <v>46017</v>
      </c>
      <c r="E326" s="49"/>
      <c r="F326" s="49"/>
      <c r="G326" s="20"/>
      <c r="H326" s="20"/>
      <c r="I326" s="21">
        <v>77.884399999999999</v>
      </c>
      <c r="J326" s="22">
        <f>ROUND(I326*H326,2)</f>
        <v>0</v>
      </c>
      <c r="K326" s="23" t="e">
        <f>ROUND(G326/J326,4)</f>
        <v>#DIV/0!</v>
      </c>
      <c r="L326" s="24" t="e">
        <f>1-K326</f>
        <v>#DIV/0!</v>
      </c>
      <c r="M326" s="25" t="s">
        <v>1659</v>
      </c>
      <c r="N326" s="25" t="s">
        <v>1660</v>
      </c>
      <c r="O326" s="26" t="s">
        <v>1661</v>
      </c>
      <c r="P326" s="27" t="s">
        <v>140</v>
      </c>
      <c r="Q326" s="27" t="s">
        <v>25</v>
      </c>
      <c r="R326" s="21" t="s">
        <v>26</v>
      </c>
      <c r="S326" s="29">
        <v>286</v>
      </c>
      <c r="T326" s="1"/>
    </row>
    <row r="327" spans="1:34" x14ac:dyDescent="0.3">
      <c r="A327" s="16">
        <v>323</v>
      </c>
      <c r="B327" s="17" t="s">
        <v>1662</v>
      </c>
      <c r="C327" s="18" t="s">
        <v>1663</v>
      </c>
      <c r="D327" s="19">
        <v>46017</v>
      </c>
      <c r="E327" s="49"/>
      <c r="F327" s="49"/>
      <c r="G327" s="20"/>
      <c r="H327" s="20"/>
      <c r="I327" s="21">
        <v>77.884399999999999</v>
      </c>
      <c r="J327" s="22">
        <f>ROUND(I327*H327,2)</f>
        <v>0</v>
      </c>
      <c r="K327" s="23" t="e">
        <f>ROUND(G327/J327,4)</f>
        <v>#DIV/0!</v>
      </c>
      <c r="L327" s="24" t="e">
        <f>1-K327</f>
        <v>#DIV/0!</v>
      </c>
      <c r="M327" s="25" t="s">
        <v>1664</v>
      </c>
      <c r="N327" s="25" t="s">
        <v>1665</v>
      </c>
      <c r="O327" s="26" t="s">
        <v>1666</v>
      </c>
      <c r="P327" s="27" t="s">
        <v>319</v>
      </c>
      <c r="Q327" s="27" t="s">
        <v>25</v>
      </c>
      <c r="R327" s="21" t="s">
        <v>39</v>
      </c>
      <c r="S327" s="29">
        <v>287</v>
      </c>
      <c r="T327" s="1"/>
    </row>
    <row r="328" spans="1:34" x14ac:dyDescent="0.3">
      <c r="A328" s="16">
        <v>324</v>
      </c>
      <c r="B328" s="17" t="s">
        <v>1667</v>
      </c>
      <c r="C328" s="18" t="s">
        <v>1668</v>
      </c>
      <c r="D328" s="19">
        <v>46017</v>
      </c>
      <c r="E328" s="49"/>
      <c r="F328" s="49"/>
      <c r="G328" s="20"/>
      <c r="H328" s="20"/>
      <c r="I328" s="21">
        <v>77.884399999999999</v>
      </c>
      <c r="J328" s="22">
        <f>ROUND(I328*H328,2)</f>
        <v>0</v>
      </c>
      <c r="K328" s="23" t="e">
        <f>ROUND(G328/J328,4)</f>
        <v>#DIV/0!</v>
      </c>
      <c r="L328" s="24" t="e">
        <f>1-K328</f>
        <v>#DIV/0!</v>
      </c>
      <c r="M328" s="25" t="s">
        <v>1669</v>
      </c>
      <c r="N328" s="25" t="s">
        <v>1670</v>
      </c>
      <c r="O328" s="26" t="s">
        <v>1671</v>
      </c>
      <c r="P328" s="27" t="s">
        <v>74</v>
      </c>
      <c r="Q328" s="27" t="s">
        <v>25</v>
      </c>
      <c r="R328" s="21" t="s">
        <v>26</v>
      </c>
      <c r="S328" s="29">
        <v>288</v>
      </c>
      <c r="T328" s="1"/>
    </row>
    <row r="329" spans="1:34" x14ac:dyDescent="0.3">
      <c r="A329" s="16">
        <v>325</v>
      </c>
      <c r="B329" s="17" t="s">
        <v>1672</v>
      </c>
      <c r="C329" s="18" t="s">
        <v>1673</v>
      </c>
      <c r="D329" s="19">
        <v>46017</v>
      </c>
      <c r="E329" s="49"/>
      <c r="F329" s="49"/>
      <c r="G329" s="20"/>
      <c r="H329" s="20"/>
      <c r="I329" s="21">
        <v>77.884399999999999</v>
      </c>
      <c r="J329" s="22">
        <f>ROUND(I329*H329,2)</f>
        <v>0</v>
      </c>
      <c r="K329" s="23" t="e">
        <f>ROUND(G329/J329,4)</f>
        <v>#DIV/0!</v>
      </c>
      <c r="L329" s="24" t="e">
        <f>1-K329</f>
        <v>#DIV/0!</v>
      </c>
      <c r="M329" s="25" t="s">
        <v>1674</v>
      </c>
      <c r="N329" s="25" t="s">
        <v>1675</v>
      </c>
      <c r="O329" s="26" t="s">
        <v>1676</v>
      </c>
      <c r="P329" s="27" t="s">
        <v>351</v>
      </c>
      <c r="Q329" s="27" t="s">
        <v>25</v>
      </c>
      <c r="R329" s="64" t="s">
        <v>39</v>
      </c>
      <c r="S329" s="29">
        <v>289</v>
      </c>
      <c r="T329" s="1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</row>
    <row r="330" spans="1:34" x14ac:dyDescent="0.3">
      <c r="A330" s="16">
        <v>326</v>
      </c>
      <c r="B330" s="17" t="s">
        <v>1677</v>
      </c>
      <c r="C330" s="18" t="s">
        <v>1678</v>
      </c>
      <c r="D330" s="19">
        <v>46017</v>
      </c>
      <c r="E330" s="49"/>
      <c r="F330" s="49"/>
      <c r="G330" s="20"/>
      <c r="H330" s="20"/>
      <c r="I330" s="21">
        <v>77.884399999999999</v>
      </c>
      <c r="J330" s="22">
        <f>ROUND(I330*H330,2)</f>
        <v>0</v>
      </c>
      <c r="K330" s="23" t="e">
        <f>ROUND(G330/J330,4)</f>
        <v>#DIV/0!</v>
      </c>
      <c r="L330" s="24" t="e">
        <f>1-K330</f>
        <v>#DIV/0!</v>
      </c>
      <c r="M330" s="25" t="s">
        <v>1679</v>
      </c>
      <c r="N330" s="25" t="s">
        <v>1680</v>
      </c>
      <c r="O330" s="26" t="s">
        <v>1681</v>
      </c>
      <c r="P330" s="27" t="s">
        <v>351</v>
      </c>
      <c r="Q330" s="27" t="s">
        <v>25</v>
      </c>
      <c r="R330" s="64" t="s">
        <v>39</v>
      </c>
      <c r="S330" s="29">
        <v>290</v>
      </c>
      <c r="T330" s="1"/>
    </row>
    <row r="331" spans="1:34" x14ac:dyDescent="0.3">
      <c r="A331" s="16">
        <v>327</v>
      </c>
      <c r="B331" s="17" t="s">
        <v>1682</v>
      </c>
      <c r="C331" s="34" t="s">
        <v>1683</v>
      </c>
      <c r="D331" s="19">
        <v>46017</v>
      </c>
      <c r="E331" s="49"/>
      <c r="F331" s="49"/>
      <c r="G331" s="20"/>
      <c r="H331" s="20"/>
      <c r="I331" s="21">
        <v>77.884399999999999</v>
      </c>
      <c r="J331" s="22">
        <f>ROUND(I331*H331,2)</f>
        <v>0</v>
      </c>
      <c r="K331" s="23" t="e">
        <f>ROUND(G331/J331,4)</f>
        <v>#DIV/0!</v>
      </c>
      <c r="L331" s="24" t="e">
        <f>1-K331</f>
        <v>#DIV/0!</v>
      </c>
      <c r="M331" s="25" t="s">
        <v>1684</v>
      </c>
      <c r="N331" s="25" t="s">
        <v>1685</v>
      </c>
      <c r="O331" s="26" t="s">
        <v>1686</v>
      </c>
      <c r="P331" s="27" t="s">
        <v>1687</v>
      </c>
      <c r="Q331" s="27" t="s">
        <v>25</v>
      </c>
      <c r="R331" s="21" t="s">
        <v>39</v>
      </c>
      <c r="S331" s="29">
        <v>291</v>
      </c>
      <c r="T331" s="1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</row>
    <row r="332" spans="1:34" x14ac:dyDescent="0.3">
      <c r="A332" s="16">
        <v>328</v>
      </c>
      <c r="B332" s="17" t="s">
        <v>1688</v>
      </c>
      <c r="C332" s="18" t="s">
        <v>1689</v>
      </c>
      <c r="D332" s="19">
        <v>46017</v>
      </c>
      <c r="E332" s="49"/>
      <c r="F332" s="49"/>
      <c r="G332" s="20"/>
      <c r="H332" s="20"/>
      <c r="I332" s="21">
        <v>77.884399999999999</v>
      </c>
      <c r="J332" s="22">
        <f>ROUND(I332*H332,2)</f>
        <v>0</v>
      </c>
      <c r="K332" s="23" t="e">
        <f>ROUND(G332/J332,4)</f>
        <v>#DIV/0!</v>
      </c>
      <c r="L332" s="24" t="e">
        <f>1-K332</f>
        <v>#DIV/0!</v>
      </c>
      <c r="M332" s="25" t="s">
        <v>1690</v>
      </c>
      <c r="N332" s="25" t="s">
        <v>1691</v>
      </c>
      <c r="O332" s="26" t="s">
        <v>1692</v>
      </c>
      <c r="P332" s="27" t="s">
        <v>1100</v>
      </c>
      <c r="Q332" s="27" t="s">
        <v>25</v>
      </c>
      <c r="R332" s="64" t="s">
        <v>39</v>
      </c>
      <c r="S332" s="29">
        <v>292</v>
      </c>
      <c r="T332" s="1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</row>
    <row r="333" spans="1:34" x14ac:dyDescent="0.3">
      <c r="A333" s="16">
        <v>329</v>
      </c>
      <c r="B333" s="17" t="s">
        <v>1693</v>
      </c>
      <c r="C333" s="18" t="s">
        <v>1694</v>
      </c>
      <c r="D333" s="19">
        <v>46017</v>
      </c>
      <c r="E333" s="49"/>
      <c r="F333" s="49"/>
      <c r="G333" s="20"/>
      <c r="H333" s="20"/>
      <c r="I333" s="21">
        <v>77.884399999999999</v>
      </c>
      <c r="J333" s="22">
        <f>ROUND(I333*H333,2)</f>
        <v>0</v>
      </c>
      <c r="K333" s="23" t="e">
        <f>ROUND(G333/J333,4)</f>
        <v>#DIV/0!</v>
      </c>
      <c r="L333" s="24" t="e">
        <f>1-K333</f>
        <v>#DIV/0!</v>
      </c>
      <c r="M333" s="25" t="s">
        <v>1695</v>
      </c>
      <c r="N333" s="25" t="s">
        <v>1696</v>
      </c>
      <c r="O333" s="26" t="s">
        <v>1697</v>
      </c>
      <c r="P333" s="27" t="s">
        <v>123</v>
      </c>
      <c r="Q333" s="27" t="s">
        <v>25</v>
      </c>
      <c r="R333" s="64" t="s">
        <v>39</v>
      </c>
      <c r="S333" s="29">
        <v>293</v>
      </c>
      <c r="T333" s="1"/>
    </row>
    <row r="334" spans="1:34" x14ac:dyDescent="0.3">
      <c r="A334" s="16">
        <v>330</v>
      </c>
      <c r="B334" s="17" t="s">
        <v>1698</v>
      </c>
      <c r="C334" s="18" t="s">
        <v>1699</v>
      </c>
      <c r="D334" s="19">
        <v>46017</v>
      </c>
      <c r="E334" s="49"/>
      <c r="F334" s="49"/>
      <c r="G334" s="20"/>
      <c r="H334" s="20"/>
      <c r="I334" s="21">
        <v>77.884399999999999</v>
      </c>
      <c r="J334" s="22">
        <f>ROUND(I334*H334,2)</f>
        <v>0</v>
      </c>
      <c r="K334" s="23" t="e">
        <f>ROUND(G334/J334,4)</f>
        <v>#DIV/0!</v>
      </c>
      <c r="L334" s="24" t="e">
        <f>1-K334</f>
        <v>#DIV/0!</v>
      </c>
      <c r="M334" s="25" t="s">
        <v>1700</v>
      </c>
      <c r="N334" s="25" t="s">
        <v>1701</v>
      </c>
      <c r="O334" s="26" t="s">
        <v>1702</v>
      </c>
      <c r="P334" s="27" t="s">
        <v>189</v>
      </c>
      <c r="Q334" s="27" t="s">
        <v>25</v>
      </c>
      <c r="R334" s="21" t="s">
        <v>39</v>
      </c>
      <c r="S334" s="29">
        <v>294</v>
      </c>
      <c r="T334" s="1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 spans="1:34" x14ac:dyDescent="0.3">
      <c r="A335" s="16">
        <v>331</v>
      </c>
      <c r="B335" s="17" t="s">
        <v>1703</v>
      </c>
      <c r="C335" s="18" t="s">
        <v>1704</v>
      </c>
      <c r="D335" s="19">
        <v>46017</v>
      </c>
      <c r="E335" s="49"/>
      <c r="F335" s="49"/>
      <c r="G335" s="20"/>
      <c r="H335" s="20"/>
      <c r="I335" s="21">
        <v>77.884399999999999</v>
      </c>
      <c r="J335" s="22">
        <f>ROUND(I335*H335,2)</f>
        <v>0</v>
      </c>
      <c r="K335" s="23" t="e">
        <f>ROUND(G335/J335,4)</f>
        <v>#DIV/0!</v>
      </c>
      <c r="L335" s="24" t="e">
        <f>1-K335</f>
        <v>#DIV/0!</v>
      </c>
      <c r="M335" s="25" t="s">
        <v>1705</v>
      </c>
      <c r="N335" s="25" t="s">
        <v>1706</v>
      </c>
      <c r="O335" s="26" t="s">
        <v>1707</v>
      </c>
      <c r="P335" s="27" t="s">
        <v>580</v>
      </c>
      <c r="Q335" s="27" t="s">
        <v>25</v>
      </c>
      <c r="R335" s="64" t="s">
        <v>39</v>
      </c>
      <c r="S335" s="29">
        <v>295</v>
      </c>
      <c r="T335" s="1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</row>
    <row r="336" spans="1:34" x14ac:dyDescent="0.3">
      <c r="A336" s="31">
        <v>332</v>
      </c>
      <c r="B336" s="32" t="s">
        <v>1708</v>
      </c>
      <c r="C336" s="33" t="s">
        <v>1709</v>
      </c>
      <c r="D336" s="19">
        <v>46017</v>
      </c>
      <c r="E336" s="49"/>
      <c r="F336" s="49"/>
      <c r="G336" s="20"/>
      <c r="H336" s="20"/>
      <c r="I336" s="21">
        <v>77.884399999999999</v>
      </c>
      <c r="J336" s="22">
        <f>ROUND(I336*H336,2)</f>
        <v>0</v>
      </c>
      <c r="K336" s="23" t="e">
        <f>ROUND(G336/J336,4)</f>
        <v>#DIV/0!</v>
      </c>
      <c r="L336" s="24" t="e">
        <f>1-K336</f>
        <v>#DIV/0!</v>
      </c>
      <c r="M336" s="25" t="s">
        <v>1710</v>
      </c>
      <c r="N336" s="25" t="s">
        <v>1711</v>
      </c>
      <c r="O336" s="26" t="s">
        <v>1709</v>
      </c>
      <c r="P336" s="27" t="s">
        <v>107</v>
      </c>
      <c r="Q336" s="27" t="s">
        <v>25</v>
      </c>
      <c r="R336" s="64" t="s">
        <v>26</v>
      </c>
      <c r="S336" s="29">
        <v>296</v>
      </c>
      <c r="T336" s="1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</row>
    <row r="337" spans="1:34" x14ac:dyDescent="0.3">
      <c r="A337" s="31">
        <v>333</v>
      </c>
      <c r="B337" s="26" t="s">
        <v>1712</v>
      </c>
      <c r="C337" s="27" t="s">
        <v>1713</v>
      </c>
      <c r="D337" s="19">
        <v>46017</v>
      </c>
      <c r="E337" s="49"/>
      <c r="F337" s="49"/>
      <c r="G337" s="20"/>
      <c r="H337" s="20"/>
      <c r="I337" s="21">
        <v>77.884399999999999</v>
      </c>
      <c r="J337" s="22">
        <f>ROUND(I337*H337,2)</f>
        <v>0</v>
      </c>
      <c r="K337" s="23" t="e">
        <f>ROUND(G337/J337,4)</f>
        <v>#DIV/0!</v>
      </c>
      <c r="L337" s="24" t="e">
        <f>1-K337</f>
        <v>#DIV/0!</v>
      </c>
      <c r="M337" s="25"/>
      <c r="N337" s="25"/>
      <c r="O337" s="26" t="s">
        <v>1714</v>
      </c>
      <c r="P337" s="27" t="s">
        <v>440</v>
      </c>
      <c r="Q337" s="27" t="s">
        <v>1715</v>
      </c>
      <c r="R337" s="64" t="s">
        <v>39</v>
      </c>
      <c r="S337" s="29"/>
      <c r="T337" s="1"/>
    </row>
    <row r="338" spans="1:34" x14ac:dyDescent="0.3">
      <c r="A338" s="16">
        <v>334</v>
      </c>
      <c r="B338" s="17" t="s">
        <v>1716</v>
      </c>
      <c r="C338" s="18" t="s">
        <v>1717</v>
      </c>
      <c r="D338" s="19">
        <v>46017</v>
      </c>
      <c r="E338" s="49"/>
      <c r="F338" s="49"/>
      <c r="G338" s="20"/>
      <c r="H338" s="20"/>
      <c r="I338" s="21">
        <v>77.884399999999999</v>
      </c>
      <c r="J338" s="22">
        <f>ROUND(I338*H338,2)</f>
        <v>0</v>
      </c>
      <c r="K338" s="23" t="e">
        <f>ROUND(G338/J338,4)</f>
        <v>#DIV/0!</v>
      </c>
      <c r="L338" s="24" t="e">
        <f>1-K338</f>
        <v>#DIV/0!</v>
      </c>
      <c r="M338" s="25" t="s">
        <v>1718</v>
      </c>
      <c r="N338" s="25" t="s">
        <v>1719</v>
      </c>
      <c r="O338" s="26" t="s">
        <v>1720</v>
      </c>
      <c r="P338" s="27" t="s">
        <v>38</v>
      </c>
      <c r="Q338" s="27" t="s">
        <v>25</v>
      </c>
      <c r="R338" s="21" t="s">
        <v>26</v>
      </c>
      <c r="S338" s="29">
        <v>297</v>
      </c>
      <c r="T338" s="1"/>
    </row>
    <row r="339" spans="1:34" x14ac:dyDescent="0.3">
      <c r="A339" s="16">
        <v>335</v>
      </c>
      <c r="B339" s="17" t="s">
        <v>1721</v>
      </c>
      <c r="C339" s="34" t="s">
        <v>1722</v>
      </c>
      <c r="D339" s="19">
        <v>46017</v>
      </c>
      <c r="E339" s="49"/>
      <c r="F339" s="49"/>
      <c r="G339" s="20"/>
      <c r="H339" s="20"/>
      <c r="I339" s="21">
        <v>77.884399999999999</v>
      </c>
      <c r="J339" s="22">
        <f>ROUND(I339*H339,2)</f>
        <v>0</v>
      </c>
      <c r="K339" s="23" t="e">
        <f>ROUND(G339/J339,4)</f>
        <v>#DIV/0!</v>
      </c>
      <c r="L339" s="24" t="e">
        <f>1-K339</f>
        <v>#DIV/0!</v>
      </c>
      <c r="M339" s="25" t="s">
        <v>1723</v>
      </c>
      <c r="N339" s="25" t="s">
        <v>1724</v>
      </c>
      <c r="O339" s="26" t="s">
        <v>1725</v>
      </c>
      <c r="P339" s="27" t="s">
        <v>24</v>
      </c>
      <c r="Q339" s="27" t="s">
        <v>25</v>
      </c>
      <c r="R339" s="21" t="s">
        <v>39</v>
      </c>
      <c r="S339" s="29">
        <v>298</v>
      </c>
      <c r="T339" s="1"/>
    </row>
    <row r="340" spans="1:34" x14ac:dyDescent="0.3">
      <c r="A340" s="16">
        <v>336</v>
      </c>
      <c r="B340" s="17" t="s">
        <v>1726</v>
      </c>
      <c r="C340" s="18" t="s">
        <v>1727</v>
      </c>
      <c r="D340" s="19">
        <v>46017</v>
      </c>
      <c r="E340" s="49"/>
      <c r="F340" s="49"/>
      <c r="G340" s="20"/>
      <c r="H340" s="20"/>
      <c r="I340" s="21">
        <v>77.884399999999999</v>
      </c>
      <c r="J340" s="22">
        <f>ROUND(I340*H340,2)</f>
        <v>0</v>
      </c>
      <c r="K340" s="23" t="e">
        <f>ROUND(G340/J340,4)</f>
        <v>#DIV/0!</v>
      </c>
      <c r="L340" s="24" t="e">
        <f>1-K340</f>
        <v>#DIV/0!</v>
      </c>
      <c r="M340" s="25" t="s">
        <v>1728</v>
      </c>
      <c r="N340" s="25" t="s">
        <v>1729</v>
      </c>
      <c r="O340" s="26" t="s">
        <v>1730</v>
      </c>
      <c r="P340" s="27" t="s">
        <v>38</v>
      </c>
      <c r="Q340" s="27" t="s">
        <v>25</v>
      </c>
      <c r="R340" s="21" t="s">
        <v>39</v>
      </c>
      <c r="S340" s="29">
        <v>299</v>
      </c>
      <c r="T340" s="1"/>
    </row>
    <row r="341" spans="1:34" x14ac:dyDescent="0.3">
      <c r="A341" s="16">
        <v>337</v>
      </c>
      <c r="B341" s="17" t="s">
        <v>1731</v>
      </c>
      <c r="C341" s="18" t="s">
        <v>1732</v>
      </c>
      <c r="D341" s="19">
        <v>46017</v>
      </c>
      <c r="E341" s="49"/>
      <c r="F341" s="49"/>
      <c r="G341" s="20"/>
      <c r="H341" s="20"/>
      <c r="I341" s="21">
        <v>77.884399999999999</v>
      </c>
      <c r="J341" s="22">
        <f>ROUND(I341*H341,2)</f>
        <v>0</v>
      </c>
      <c r="K341" s="23" t="e">
        <f>ROUND(G341/J341,4)</f>
        <v>#DIV/0!</v>
      </c>
      <c r="L341" s="24" t="e">
        <f>1-K341</f>
        <v>#DIV/0!</v>
      </c>
      <c r="M341" s="25" t="s">
        <v>1733</v>
      </c>
      <c r="N341" s="25" t="s">
        <v>1734</v>
      </c>
      <c r="O341" s="26" t="s">
        <v>1735</v>
      </c>
      <c r="P341" s="27" t="s">
        <v>74</v>
      </c>
      <c r="Q341" s="27" t="s">
        <v>25</v>
      </c>
      <c r="R341" s="64" t="s">
        <v>39</v>
      </c>
      <c r="S341" s="29">
        <v>300</v>
      </c>
      <c r="T341" s="1"/>
    </row>
    <row r="342" spans="1:34" x14ac:dyDescent="0.3">
      <c r="A342" s="16">
        <v>338</v>
      </c>
      <c r="B342" s="17" t="s">
        <v>1736</v>
      </c>
      <c r="C342" s="18" t="s">
        <v>1737</v>
      </c>
      <c r="D342" s="19">
        <v>46017</v>
      </c>
      <c r="E342" s="49"/>
      <c r="F342" s="49"/>
      <c r="G342" s="20"/>
      <c r="H342" s="20"/>
      <c r="I342" s="21">
        <v>77.884399999999999</v>
      </c>
      <c r="J342" s="22">
        <f>ROUND(I342*H342,2)</f>
        <v>0</v>
      </c>
      <c r="K342" s="23" t="e">
        <f>ROUND(G342/J342,4)</f>
        <v>#DIV/0!</v>
      </c>
      <c r="L342" s="24" t="e">
        <f>1-K342</f>
        <v>#DIV/0!</v>
      </c>
      <c r="M342" s="25" t="s">
        <v>1738</v>
      </c>
      <c r="N342" s="25" t="s">
        <v>1739</v>
      </c>
      <c r="O342" s="26" t="s">
        <v>1740</v>
      </c>
      <c r="P342" s="27" t="s">
        <v>24</v>
      </c>
      <c r="Q342" s="27" t="s">
        <v>25</v>
      </c>
      <c r="R342" s="21" t="s">
        <v>26</v>
      </c>
      <c r="S342" s="29">
        <v>301</v>
      </c>
      <c r="T342" s="1"/>
    </row>
    <row r="343" spans="1:34" x14ac:dyDescent="0.3">
      <c r="A343" s="31">
        <v>339</v>
      </c>
      <c r="B343" s="26" t="s">
        <v>1741</v>
      </c>
      <c r="C343" s="27" t="s">
        <v>1742</v>
      </c>
      <c r="D343" s="19">
        <v>46017</v>
      </c>
      <c r="E343" s="49"/>
      <c r="F343" s="49"/>
      <c r="G343" s="20"/>
      <c r="H343" s="20"/>
      <c r="I343" s="21">
        <v>77.884399999999999</v>
      </c>
      <c r="J343" s="22">
        <f>ROUND(I343*H343,2)</f>
        <v>0</v>
      </c>
      <c r="K343" s="23" t="e">
        <f>ROUND(G343/J343,4)</f>
        <v>#DIV/0!</v>
      </c>
      <c r="L343" s="24" t="e">
        <f>1-K343</f>
        <v>#DIV/0!</v>
      </c>
      <c r="M343" s="25"/>
      <c r="N343" s="25"/>
      <c r="O343" s="26" t="s">
        <v>1743</v>
      </c>
      <c r="P343" s="27" t="s">
        <v>1744</v>
      </c>
      <c r="Q343" s="27" t="s">
        <v>100</v>
      </c>
      <c r="R343" s="21" t="s">
        <v>39</v>
      </c>
      <c r="S343" s="29"/>
      <c r="T343" s="1"/>
    </row>
    <row r="344" spans="1:34" x14ac:dyDescent="0.3">
      <c r="A344" s="16">
        <v>340</v>
      </c>
      <c r="B344" s="17" t="s">
        <v>1745</v>
      </c>
      <c r="C344" s="18" t="s">
        <v>1746</v>
      </c>
      <c r="D344" s="19">
        <v>46017</v>
      </c>
      <c r="E344" s="49"/>
      <c r="F344" s="49"/>
      <c r="G344" s="20"/>
      <c r="H344" s="20"/>
      <c r="I344" s="21">
        <v>77.884399999999999</v>
      </c>
      <c r="J344" s="22">
        <f>ROUND(I344*H344,2)</f>
        <v>0</v>
      </c>
      <c r="K344" s="23" t="e">
        <f>ROUND(G344/J344,4)</f>
        <v>#DIV/0!</v>
      </c>
      <c r="L344" s="24" t="e">
        <f>1-K344</f>
        <v>#DIV/0!</v>
      </c>
      <c r="M344" s="25" t="s">
        <v>1747</v>
      </c>
      <c r="N344" s="25" t="s">
        <v>1748</v>
      </c>
      <c r="O344" s="26" t="s">
        <v>1749</v>
      </c>
      <c r="P344" s="27" t="s">
        <v>38</v>
      </c>
      <c r="Q344" s="27" t="s">
        <v>25</v>
      </c>
      <c r="R344" s="21" t="s">
        <v>26</v>
      </c>
      <c r="S344" s="29">
        <v>302</v>
      </c>
      <c r="T344" s="1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 spans="1:34" x14ac:dyDescent="0.3">
      <c r="A345" s="16">
        <v>341</v>
      </c>
      <c r="B345" s="17" t="s">
        <v>1750</v>
      </c>
      <c r="C345" s="18" t="s">
        <v>1751</v>
      </c>
      <c r="D345" s="19">
        <v>46017</v>
      </c>
      <c r="E345" s="49"/>
      <c r="F345" s="49"/>
      <c r="G345" s="20"/>
      <c r="H345" s="20"/>
      <c r="I345" s="21">
        <v>77.884399999999999</v>
      </c>
      <c r="J345" s="22">
        <f>ROUND(I345*H345,2)</f>
        <v>0</v>
      </c>
      <c r="K345" s="23" t="e">
        <f>ROUND(G345/J345,4)</f>
        <v>#DIV/0!</v>
      </c>
      <c r="L345" s="24" t="e">
        <f>1-K345</f>
        <v>#DIV/0!</v>
      </c>
      <c r="M345" s="25" t="s">
        <v>1752</v>
      </c>
      <c r="N345" s="25" t="s">
        <v>1753</v>
      </c>
      <c r="O345" s="26" t="s">
        <v>1754</v>
      </c>
      <c r="P345" s="27" t="s">
        <v>146</v>
      </c>
      <c r="Q345" s="27" t="s">
        <v>25</v>
      </c>
      <c r="R345" s="21" t="s">
        <v>39</v>
      </c>
      <c r="S345" s="29">
        <v>303</v>
      </c>
      <c r="T345" s="1"/>
    </row>
    <row r="346" spans="1:34" x14ac:dyDescent="0.3">
      <c r="A346" s="31">
        <v>342</v>
      </c>
      <c r="B346" s="32" t="s">
        <v>1755</v>
      </c>
      <c r="C346" s="33" t="s">
        <v>1756</v>
      </c>
      <c r="D346" s="19">
        <v>46017</v>
      </c>
      <c r="E346" s="49"/>
      <c r="F346" s="49"/>
      <c r="G346" s="20"/>
      <c r="H346" s="20"/>
      <c r="I346" s="21">
        <v>77.884399999999999</v>
      </c>
      <c r="J346" s="22">
        <f>ROUND(I346*H346,2)</f>
        <v>0</v>
      </c>
      <c r="K346" s="23" t="e">
        <f>ROUND(G346/J346,4)</f>
        <v>#DIV/0!</v>
      </c>
      <c r="L346" s="24" t="e">
        <f>1-K346</f>
        <v>#DIV/0!</v>
      </c>
      <c r="M346" s="25" t="s">
        <v>1757</v>
      </c>
      <c r="N346" s="25" t="s">
        <v>1758</v>
      </c>
      <c r="O346" s="26" t="s">
        <v>1759</v>
      </c>
      <c r="P346" s="27" t="s">
        <v>1760</v>
      </c>
      <c r="Q346" s="27" t="s">
        <v>25</v>
      </c>
      <c r="R346" s="21" t="s">
        <v>26</v>
      </c>
      <c r="S346" s="29">
        <v>304</v>
      </c>
      <c r="T346" s="1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 spans="1:34" x14ac:dyDescent="0.3">
      <c r="A347" s="16">
        <v>343</v>
      </c>
      <c r="B347" s="17" t="s">
        <v>1761</v>
      </c>
      <c r="C347" s="18" t="s">
        <v>1762</v>
      </c>
      <c r="D347" s="19">
        <v>46017</v>
      </c>
      <c r="E347" s="49"/>
      <c r="F347" s="49"/>
      <c r="G347" s="20"/>
      <c r="H347" s="20"/>
      <c r="I347" s="21">
        <v>77.884399999999999</v>
      </c>
      <c r="J347" s="22">
        <f>ROUND(I347*H347,2)</f>
        <v>0</v>
      </c>
      <c r="K347" s="23" t="e">
        <f>ROUND(G347/J347,4)</f>
        <v>#DIV/0!</v>
      </c>
      <c r="L347" s="24" t="e">
        <f>1-K347</f>
        <v>#DIV/0!</v>
      </c>
      <c r="M347" s="25" t="s">
        <v>1763</v>
      </c>
      <c r="N347" s="25" t="s">
        <v>1764</v>
      </c>
      <c r="O347" s="26" t="s">
        <v>1765</v>
      </c>
      <c r="P347" s="27" t="s">
        <v>24</v>
      </c>
      <c r="Q347" s="27" t="s">
        <v>25</v>
      </c>
      <c r="R347" s="64" t="s">
        <v>39</v>
      </c>
      <c r="S347" s="29">
        <v>305</v>
      </c>
      <c r="T347" s="1"/>
    </row>
    <row r="348" spans="1:34" x14ac:dyDescent="0.3">
      <c r="A348" s="16">
        <v>344</v>
      </c>
      <c r="B348" s="17" t="s">
        <v>1766</v>
      </c>
      <c r="C348" s="18" t="s">
        <v>1767</v>
      </c>
      <c r="D348" s="19">
        <v>46017</v>
      </c>
      <c r="E348" s="49"/>
      <c r="F348" s="49"/>
      <c r="G348" s="20"/>
      <c r="H348" s="20"/>
      <c r="I348" s="21">
        <v>77.884399999999999</v>
      </c>
      <c r="J348" s="22">
        <f>ROUND(I348*H348,2)</f>
        <v>0</v>
      </c>
      <c r="K348" s="23" t="e">
        <f>ROUND(G348/J348,4)</f>
        <v>#DIV/0!</v>
      </c>
      <c r="L348" s="24" t="e">
        <f>1-K348</f>
        <v>#DIV/0!</v>
      </c>
      <c r="M348" s="25" t="s">
        <v>1768</v>
      </c>
      <c r="N348" s="25" t="s">
        <v>1769</v>
      </c>
      <c r="O348" s="26" t="s">
        <v>1770</v>
      </c>
      <c r="P348" s="27" t="s">
        <v>134</v>
      </c>
      <c r="Q348" s="27" t="s">
        <v>25</v>
      </c>
      <c r="R348" s="21" t="s">
        <v>26</v>
      </c>
      <c r="S348" s="29">
        <v>306</v>
      </c>
      <c r="T348" s="1"/>
    </row>
    <row r="349" spans="1:34" x14ac:dyDescent="0.3">
      <c r="A349" s="31">
        <v>345</v>
      </c>
      <c r="B349" s="26" t="s">
        <v>1771</v>
      </c>
      <c r="C349" s="27" t="s">
        <v>1772</v>
      </c>
      <c r="D349" s="19">
        <v>46017</v>
      </c>
      <c r="E349" s="49"/>
      <c r="F349" s="49"/>
      <c r="G349" s="20"/>
      <c r="H349" s="20"/>
      <c r="I349" s="21">
        <v>77.884399999999999</v>
      </c>
      <c r="J349" s="22">
        <f>ROUND(I349*H349,2)</f>
        <v>0</v>
      </c>
      <c r="K349" s="23" t="e">
        <f>ROUND(G349/J349,4)</f>
        <v>#DIV/0!</v>
      </c>
      <c r="L349" s="24" t="e">
        <f>1-K349</f>
        <v>#DIV/0!</v>
      </c>
      <c r="M349" s="25"/>
      <c r="N349" s="25"/>
      <c r="O349" s="26" t="s">
        <v>1773</v>
      </c>
      <c r="P349" s="27" t="s">
        <v>1774</v>
      </c>
      <c r="Q349" s="27" t="s">
        <v>25</v>
      </c>
      <c r="R349" s="21" t="s">
        <v>39</v>
      </c>
      <c r="S349" s="29"/>
      <c r="T349" s="1"/>
    </row>
    <row r="350" spans="1:34" x14ac:dyDescent="0.3">
      <c r="A350" s="16">
        <v>346</v>
      </c>
      <c r="B350" s="17" t="s">
        <v>1775</v>
      </c>
      <c r="C350" s="34" t="s">
        <v>1776</v>
      </c>
      <c r="D350" s="19">
        <v>46017</v>
      </c>
      <c r="E350" s="49"/>
      <c r="F350" s="49"/>
      <c r="G350" s="20"/>
      <c r="H350" s="20"/>
      <c r="I350" s="21">
        <v>77.884399999999999</v>
      </c>
      <c r="J350" s="22">
        <f>ROUND(I350*H350,2)</f>
        <v>0</v>
      </c>
      <c r="K350" s="23" t="e">
        <f>ROUND(G350/J350,4)</f>
        <v>#DIV/0!</v>
      </c>
      <c r="L350" s="24" t="e">
        <f>1-K350</f>
        <v>#DIV/0!</v>
      </c>
      <c r="M350" s="25" t="s">
        <v>1777</v>
      </c>
      <c r="N350" s="25" t="s">
        <v>1778</v>
      </c>
      <c r="O350" s="26" t="s">
        <v>1779</v>
      </c>
      <c r="P350" s="27" t="s">
        <v>250</v>
      </c>
      <c r="Q350" s="27" t="s">
        <v>25</v>
      </c>
      <c r="R350" s="21" t="s">
        <v>26</v>
      </c>
      <c r="S350" s="29">
        <v>307</v>
      </c>
      <c r="T350" s="1"/>
    </row>
    <row r="351" spans="1:34" x14ac:dyDescent="0.3">
      <c r="A351" s="16">
        <v>347</v>
      </c>
      <c r="B351" s="17" t="s">
        <v>1780</v>
      </c>
      <c r="C351" s="18" t="s">
        <v>1781</v>
      </c>
      <c r="D351" s="19">
        <v>46017</v>
      </c>
      <c r="E351" s="49"/>
      <c r="F351" s="49"/>
      <c r="G351" s="20"/>
      <c r="H351" s="20"/>
      <c r="I351" s="21">
        <v>77.884399999999999</v>
      </c>
      <c r="J351" s="22">
        <f>ROUND(I351*H351,2)</f>
        <v>0</v>
      </c>
      <c r="K351" s="23" t="e">
        <f>ROUND(G351/J351,4)</f>
        <v>#DIV/0!</v>
      </c>
      <c r="L351" s="24" t="e">
        <f>1-K351</f>
        <v>#DIV/0!</v>
      </c>
      <c r="M351" s="25" t="s">
        <v>1782</v>
      </c>
      <c r="N351" s="25" t="s">
        <v>1783</v>
      </c>
      <c r="O351" s="26" t="s">
        <v>1784</v>
      </c>
      <c r="P351" s="27" t="s">
        <v>414</v>
      </c>
      <c r="Q351" s="27" t="s">
        <v>25</v>
      </c>
      <c r="R351" s="21" t="s">
        <v>39</v>
      </c>
      <c r="S351" s="29">
        <v>308</v>
      </c>
      <c r="T351" s="1"/>
    </row>
    <row r="352" spans="1:34" x14ac:dyDescent="0.3">
      <c r="A352" s="16">
        <v>348</v>
      </c>
      <c r="B352" s="17" t="s">
        <v>1785</v>
      </c>
      <c r="C352" s="34" t="s">
        <v>1786</v>
      </c>
      <c r="D352" s="19">
        <v>46017</v>
      </c>
      <c r="E352" s="49"/>
      <c r="F352" s="49"/>
      <c r="G352" s="20"/>
      <c r="H352" s="20"/>
      <c r="I352" s="21">
        <v>77.884399999999999</v>
      </c>
      <c r="J352" s="22">
        <f>ROUND(I352*H352,2)</f>
        <v>0</v>
      </c>
      <c r="K352" s="23" t="e">
        <f>ROUND(G352/J352,4)</f>
        <v>#DIV/0!</v>
      </c>
      <c r="L352" s="24" t="e">
        <f>1-K352</f>
        <v>#DIV/0!</v>
      </c>
      <c r="M352" s="25" t="s">
        <v>1787</v>
      </c>
      <c r="N352" s="25" t="s">
        <v>1788</v>
      </c>
      <c r="O352" s="26" t="s">
        <v>1789</v>
      </c>
      <c r="P352" s="27" t="s">
        <v>308</v>
      </c>
      <c r="Q352" s="27" t="s">
        <v>25</v>
      </c>
      <c r="R352" s="21" t="s">
        <v>39</v>
      </c>
      <c r="S352" s="29">
        <v>309</v>
      </c>
      <c r="T352" s="1"/>
    </row>
    <row r="353" spans="1:34" x14ac:dyDescent="0.3">
      <c r="A353" s="16">
        <v>349</v>
      </c>
      <c r="B353" s="17" t="s">
        <v>1790</v>
      </c>
      <c r="C353" s="18" t="s">
        <v>1791</v>
      </c>
      <c r="D353" s="19">
        <v>46017</v>
      </c>
      <c r="E353" s="49"/>
      <c r="F353" s="49"/>
      <c r="G353" s="20"/>
      <c r="H353" s="20"/>
      <c r="I353" s="21">
        <v>77.884399999999999</v>
      </c>
      <c r="J353" s="22">
        <f>ROUND(I353*H353,2)</f>
        <v>0</v>
      </c>
      <c r="K353" s="23" t="e">
        <f>ROUND(G353/J353,4)</f>
        <v>#DIV/0!</v>
      </c>
      <c r="L353" s="24" t="e">
        <f>1-K353</f>
        <v>#DIV/0!</v>
      </c>
      <c r="M353" s="25" t="s">
        <v>1792</v>
      </c>
      <c r="N353" s="25" t="s">
        <v>1793</v>
      </c>
      <c r="O353" s="26" t="s">
        <v>1794</v>
      </c>
      <c r="P353" s="27" t="s">
        <v>32</v>
      </c>
      <c r="Q353" s="27" t="s">
        <v>25</v>
      </c>
      <c r="R353" s="21" t="s">
        <v>26</v>
      </c>
      <c r="S353" s="29">
        <v>310</v>
      </c>
      <c r="T353" s="1"/>
    </row>
    <row r="354" spans="1:34" x14ac:dyDescent="0.3">
      <c r="A354" s="31">
        <v>350</v>
      </c>
      <c r="B354" s="32" t="s">
        <v>1795</v>
      </c>
      <c r="C354" s="33" t="s">
        <v>1796</v>
      </c>
      <c r="D354" s="19">
        <v>46017</v>
      </c>
      <c r="E354" s="49"/>
      <c r="F354" s="49"/>
      <c r="G354" s="20"/>
      <c r="H354" s="20"/>
      <c r="I354" s="21">
        <v>77.884399999999999</v>
      </c>
      <c r="J354" s="22">
        <f>ROUND(I354*H354,2)</f>
        <v>0</v>
      </c>
      <c r="K354" s="23" t="e">
        <f>ROUND(G354/J354,4)</f>
        <v>#DIV/0!</v>
      </c>
      <c r="L354" s="24" t="e">
        <f>1-K354</f>
        <v>#DIV/0!</v>
      </c>
      <c r="M354" s="25" t="s">
        <v>1797</v>
      </c>
      <c r="N354" s="25" t="s">
        <v>1798</v>
      </c>
      <c r="O354" s="26" t="s">
        <v>1799</v>
      </c>
      <c r="P354" s="27" t="s">
        <v>74</v>
      </c>
      <c r="Q354" s="27" t="s">
        <v>25</v>
      </c>
      <c r="R354" s="21" t="s">
        <v>39</v>
      </c>
      <c r="S354" s="29">
        <v>311</v>
      </c>
      <c r="T354" s="1"/>
    </row>
    <row r="355" spans="1:34" x14ac:dyDescent="0.3">
      <c r="A355" s="31">
        <v>351</v>
      </c>
      <c r="B355" s="26" t="s">
        <v>1800</v>
      </c>
      <c r="C355" s="27" t="s">
        <v>1801</v>
      </c>
      <c r="D355" s="19">
        <v>46017</v>
      </c>
      <c r="E355" s="49"/>
      <c r="F355" s="49"/>
      <c r="G355" s="20"/>
      <c r="H355" s="20"/>
      <c r="I355" s="21">
        <v>77.884399999999999</v>
      </c>
      <c r="J355" s="22">
        <f>ROUND(I355*H355,2)</f>
        <v>0</v>
      </c>
      <c r="K355" s="23" t="e">
        <f>ROUND(G355/J355,4)</f>
        <v>#DIV/0!</v>
      </c>
      <c r="L355" s="24" t="e">
        <f>1-K355</f>
        <v>#DIV/0!</v>
      </c>
      <c r="M355" s="25"/>
      <c r="N355" s="25"/>
      <c r="O355" s="26" t="s">
        <v>1802</v>
      </c>
      <c r="P355" s="27" t="s">
        <v>1803</v>
      </c>
      <c r="Q355" s="27" t="s">
        <v>25</v>
      </c>
      <c r="R355" s="21" t="s">
        <v>39</v>
      </c>
      <c r="S355" s="29"/>
      <c r="T355" s="1"/>
    </row>
    <row r="356" spans="1:34" x14ac:dyDescent="0.3">
      <c r="A356" s="16">
        <v>352</v>
      </c>
      <c r="B356" s="17" t="s">
        <v>1804</v>
      </c>
      <c r="C356" s="18" t="s">
        <v>1805</v>
      </c>
      <c r="D356" s="19">
        <v>46017</v>
      </c>
      <c r="E356" s="49"/>
      <c r="F356" s="49"/>
      <c r="G356" s="20"/>
      <c r="H356" s="20"/>
      <c r="I356" s="21">
        <v>77.884399999999999</v>
      </c>
      <c r="J356" s="22">
        <f>ROUND(I356*H356,2)</f>
        <v>0</v>
      </c>
      <c r="K356" s="23" t="e">
        <f>ROUND(G356/J356,4)</f>
        <v>#DIV/0!</v>
      </c>
      <c r="L356" s="24" t="e">
        <f>1-K356</f>
        <v>#DIV/0!</v>
      </c>
      <c r="M356" s="25" t="s">
        <v>1806</v>
      </c>
      <c r="N356" s="25" t="s">
        <v>1807</v>
      </c>
      <c r="O356" s="26" t="s">
        <v>1808</v>
      </c>
      <c r="P356" s="27" t="s">
        <v>1085</v>
      </c>
      <c r="Q356" s="27" t="s">
        <v>25</v>
      </c>
      <c r="R356" s="21" t="s">
        <v>39</v>
      </c>
      <c r="S356" s="29">
        <v>312</v>
      </c>
      <c r="T356" s="1"/>
    </row>
    <row r="357" spans="1:34" x14ac:dyDescent="0.3">
      <c r="A357" s="16">
        <v>353</v>
      </c>
      <c r="B357" s="17" t="s">
        <v>1809</v>
      </c>
      <c r="C357" s="18" t="s">
        <v>1810</v>
      </c>
      <c r="D357" s="19">
        <v>46017</v>
      </c>
      <c r="E357" s="49"/>
      <c r="F357" s="49"/>
      <c r="G357" s="20"/>
      <c r="H357" s="20"/>
      <c r="I357" s="21">
        <v>77.884399999999999</v>
      </c>
      <c r="J357" s="22">
        <f>ROUND(I357*H357,2)</f>
        <v>0</v>
      </c>
      <c r="K357" s="23" t="e">
        <f>ROUND(G357/J357,4)</f>
        <v>#DIV/0!</v>
      </c>
      <c r="L357" s="24" t="e">
        <f>1-K357</f>
        <v>#DIV/0!</v>
      </c>
      <c r="M357" s="25" t="s">
        <v>1811</v>
      </c>
      <c r="N357" s="25" t="s">
        <v>1812</v>
      </c>
      <c r="O357" s="26" t="s">
        <v>1813</v>
      </c>
      <c r="P357" s="27" t="s">
        <v>24</v>
      </c>
      <c r="Q357" s="27" t="s">
        <v>25</v>
      </c>
      <c r="R357" s="21" t="s">
        <v>26</v>
      </c>
      <c r="S357" s="29">
        <v>313</v>
      </c>
      <c r="T357" s="1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 spans="1:34" x14ac:dyDescent="0.3">
      <c r="A358" s="16">
        <v>354</v>
      </c>
      <c r="B358" s="17" t="s">
        <v>1814</v>
      </c>
      <c r="C358" s="34" t="s">
        <v>1815</v>
      </c>
      <c r="D358" s="19">
        <v>46017</v>
      </c>
      <c r="E358" s="49"/>
      <c r="F358" s="49"/>
      <c r="G358" s="20"/>
      <c r="H358" s="20"/>
      <c r="I358" s="21">
        <v>77.884399999999999</v>
      </c>
      <c r="J358" s="22">
        <f>ROUND(I358*H358,2)</f>
        <v>0</v>
      </c>
      <c r="K358" s="23" t="e">
        <f>ROUND(G358/J358,4)</f>
        <v>#DIV/0!</v>
      </c>
      <c r="L358" s="24" t="e">
        <f>1-K358</f>
        <v>#DIV/0!</v>
      </c>
      <c r="M358" s="25" t="s">
        <v>1816</v>
      </c>
      <c r="N358" s="25" t="s">
        <v>1817</v>
      </c>
      <c r="O358" s="26" t="s">
        <v>1818</v>
      </c>
      <c r="P358" s="27" t="s">
        <v>24</v>
      </c>
      <c r="Q358" s="27" t="s">
        <v>25</v>
      </c>
      <c r="R358" s="21" t="s">
        <v>26</v>
      </c>
      <c r="S358" s="29">
        <v>314</v>
      </c>
      <c r="T358" s="1"/>
    </row>
    <row r="359" spans="1:34" x14ac:dyDescent="0.3">
      <c r="A359" s="16">
        <v>355</v>
      </c>
      <c r="B359" s="17" t="s">
        <v>1819</v>
      </c>
      <c r="C359" s="18" t="s">
        <v>1820</v>
      </c>
      <c r="D359" s="19">
        <v>46017</v>
      </c>
      <c r="E359" s="49"/>
      <c r="F359" s="49"/>
      <c r="G359" s="20"/>
      <c r="H359" s="20"/>
      <c r="I359" s="21">
        <v>77.884399999999999</v>
      </c>
      <c r="J359" s="22">
        <f>ROUND(I359*H359,2)</f>
        <v>0</v>
      </c>
      <c r="K359" s="23" t="e">
        <f>ROUND(G359/J359,4)</f>
        <v>#DIV/0!</v>
      </c>
      <c r="L359" s="24" t="e">
        <f>1-K359</f>
        <v>#DIV/0!</v>
      </c>
      <c r="M359" s="25" t="s">
        <v>1821</v>
      </c>
      <c r="N359" s="25" t="s">
        <v>1822</v>
      </c>
      <c r="O359" s="26" t="s">
        <v>1823</v>
      </c>
      <c r="P359" s="27" t="s">
        <v>903</v>
      </c>
      <c r="Q359" s="27" t="s">
        <v>25</v>
      </c>
      <c r="R359" s="21" t="s">
        <v>26</v>
      </c>
      <c r="S359" s="29">
        <v>315</v>
      </c>
      <c r="T359" s="1"/>
    </row>
    <row r="360" spans="1:34" x14ac:dyDescent="0.3">
      <c r="A360" s="16">
        <v>356</v>
      </c>
      <c r="B360" s="17" t="s">
        <v>1824</v>
      </c>
      <c r="C360" s="18" t="s">
        <v>1825</v>
      </c>
      <c r="D360" s="19">
        <v>46017</v>
      </c>
      <c r="E360" s="49"/>
      <c r="F360" s="49"/>
      <c r="G360" s="20"/>
      <c r="H360" s="20"/>
      <c r="I360" s="21">
        <v>77.884399999999999</v>
      </c>
      <c r="J360" s="22">
        <f>ROUND(I360*H360,2)</f>
        <v>0</v>
      </c>
      <c r="K360" s="23" t="e">
        <f>ROUND(G360/J360,4)</f>
        <v>#DIV/0!</v>
      </c>
      <c r="L360" s="24" t="e">
        <f>1-K360</f>
        <v>#DIV/0!</v>
      </c>
      <c r="M360" s="25" t="s">
        <v>1826</v>
      </c>
      <c r="N360" s="25" t="s">
        <v>1827</v>
      </c>
      <c r="O360" s="26" t="s">
        <v>1828</v>
      </c>
      <c r="P360" s="27" t="s">
        <v>308</v>
      </c>
      <c r="Q360" s="27" t="s">
        <v>25</v>
      </c>
      <c r="R360" s="21" t="s">
        <v>26</v>
      </c>
      <c r="S360" s="29">
        <v>316</v>
      </c>
      <c r="T360" s="1"/>
    </row>
    <row r="361" spans="1:34" x14ac:dyDescent="0.3">
      <c r="A361" s="31">
        <v>357</v>
      </c>
      <c r="B361" s="26" t="s">
        <v>1829</v>
      </c>
      <c r="C361" s="27" t="s">
        <v>1830</v>
      </c>
      <c r="D361" s="19">
        <v>46017</v>
      </c>
      <c r="E361" s="49"/>
      <c r="F361" s="49"/>
      <c r="G361" s="20"/>
      <c r="H361" s="20"/>
      <c r="I361" s="21">
        <v>77.884399999999999</v>
      </c>
      <c r="J361" s="22">
        <f>ROUND(I361*H361,2)</f>
        <v>0</v>
      </c>
      <c r="K361" s="23" t="e">
        <f>ROUND(G361/J361,4)</f>
        <v>#DIV/0!</v>
      </c>
      <c r="L361" s="24" t="e">
        <f>1-K361</f>
        <v>#DIV/0!</v>
      </c>
      <c r="M361" s="25"/>
      <c r="N361" s="25"/>
      <c r="O361" s="26" t="s">
        <v>1831</v>
      </c>
      <c r="P361" s="27" t="s">
        <v>45</v>
      </c>
      <c r="Q361" s="27" t="s">
        <v>25</v>
      </c>
      <c r="R361" s="21" t="s">
        <v>39</v>
      </c>
      <c r="S361" s="29"/>
      <c r="T361" s="1"/>
    </row>
    <row r="362" spans="1:34" x14ac:dyDescent="0.3">
      <c r="A362" s="31">
        <v>358</v>
      </c>
      <c r="B362" s="26" t="s">
        <v>1832</v>
      </c>
      <c r="C362" s="27" t="s">
        <v>1833</v>
      </c>
      <c r="D362" s="19">
        <v>46017</v>
      </c>
      <c r="E362" s="49"/>
      <c r="F362" s="49"/>
      <c r="G362" s="20"/>
      <c r="H362" s="20"/>
      <c r="I362" s="21">
        <v>77.884399999999999</v>
      </c>
      <c r="J362" s="22">
        <f>ROUND(I362*H362,2)</f>
        <v>0</v>
      </c>
      <c r="K362" s="23" t="e">
        <f>ROUND(G362/J362,4)</f>
        <v>#DIV/0!</v>
      </c>
      <c r="L362" s="24" t="e">
        <f>1-K362</f>
        <v>#DIV/0!</v>
      </c>
      <c r="M362" s="25"/>
      <c r="N362" s="25"/>
      <c r="O362" s="26" t="s">
        <v>1834</v>
      </c>
      <c r="P362" s="27" t="s">
        <v>1835</v>
      </c>
      <c r="Q362" s="27" t="s">
        <v>25</v>
      </c>
      <c r="R362" s="21" t="s">
        <v>26</v>
      </c>
      <c r="S362" s="29"/>
      <c r="T362" s="1"/>
    </row>
    <row r="363" spans="1:34" x14ac:dyDescent="0.3">
      <c r="A363" s="31">
        <v>359</v>
      </c>
      <c r="B363" s="26" t="s">
        <v>1836</v>
      </c>
      <c r="C363" s="27" t="s">
        <v>1837</v>
      </c>
      <c r="D363" s="19">
        <v>46017</v>
      </c>
      <c r="E363" s="49"/>
      <c r="F363" s="49"/>
      <c r="G363" s="20"/>
      <c r="H363" s="20"/>
      <c r="I363" s="21">
        <v>77.884399999999999</v>
      </c>
      <c r="J363" s="22">
        <f>ROUND(I363*H363,2)</f>
        <v>0</v>
      </c>
      <c r="K363" s="23" t="e">
        <f>ROUND(G363/J363,4)</f>
        <v>#DIV/0!</v>
      </c>
      <c r="L363" s="24" t="e">
        <f>1-K363</f>
        <v>#DIV/0!</v>
      </c>
      <c r="M363" s="25"/>
      <c r="N363" s="25"/>
      <c r="O363" s="26" t="s">
        <v>1838</v>
      </c>
      <c r="P363" s="27" t="s">
        <v>1839</v>
      </c>
      <c r="Q363" s="27" t="s">
        <v>25</v>
      </c>
      <c r="R363" s="21" t="s">
        <v>26</v>
      </c>
      <c r="S363" s="29"/>
      <c r="T363" s="1"/>
    </row>
    <row r="364" spans="1:34" x14ac:dyDescent="0.3">
      <c r="A364" s="16">
        <v>360</v>
      </c>
      <c r="B364" s="17" t="s">
        <v>1840</v>
      </c>
      <c r="C364" s="18" t="s">
        <v>1841</v>
      </c>
      <c r="D364" s="19">
        <v>46017</v>
      </c>
      <c r="E364" s="49"/>
      <c r="F364" s="49"/>
      <c r="G364" s="20"/>
      <c r="H364" s="20"/>
      <c r="I364" s="21">
        <v>77.884399999999999</v>
      </c>
      <c r="J364" s="22">
        <f>ROUND(I364*H364,2)</f>
        <v>0</v>
      </c>
      <c r="K364" s="23" t="e">
        <f>ROUND(G364/J364,4)</f>
        <v>#DIV/0!</v>
      </c>
      <c r="L364" s="24" t="e">
        <f>1-K364</f>
        <v>#DIV/0!</v>
      </c>
      <c r="M364" s="25" t="s">
        <v>1842</v>
      </c>
      <c r="N364" s="25" t="s">
        <v>1843</v>
      </c>
      <c r="O364" s="26" t="s">
        <v>1844</v>
      </c>
      <c r="P364" s="27" t="s">
        <v>351</v>
      </c>
      <c r="Q364" s="27" t="s">
        <v>25</v>
      </c>
      <c r="R364" s="21" t="s">
        <v>39</v>
      </c>
      <c r="S364" s="29">
        <v>317</v>
      </c>
      <c r="T364" s="1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 spans="1:34" x14ac:dyDescent="0.3">
      <c r="A365" s="16">
        <v>361</v>
      </c>
      <c r="B365" s="17" t="s">
        <v>1845</v>
      </c>
      <c r="C365" s="34" t="s">
        <v>1846</v>
      </c>
      <c r="D365" s="19">
        <v>46017</v>
      </c>
      <c r="E365" s="49"/>
      <c r="F365" s="49"/>
      <c r="G365" s="20"/>
      <c r="H365" s="20"/>
      <c r="I365" s="21">
        <v>77.884399999999999</v>
      </c>
      <c r="J365" s="22">
        <f>ROUND(I365*H365,2)</f>
        <v>0</v>
      </c>
      <c r="K365" s="23" t="e">
        <f>ROUND(G365/J365,4)</f>
        <v>#DIV/0!</v>
      </c>
      <c r="L365" s="24" t="e">
        <f>1-K365</f>
        <v>#DIV/0!</v>
      </c>
      <c r="M365" s="25" t="s">
        <v>1847</v>
      </c>
      <c r="N365" s="25" t="s">
        <v>1848</v>
      </c>
      <c r="O365" s="26" t="s">
        <v>1849</v>
      </c>
      <c r="P365" s="27" t="s">
        <v>628</v>
      </c>
      <c r="Q365" s="27" t="s">
        <v>25</v>
      </c>
      <c r="R365" s="21" t="s">
        <v>39</v>
      </c>
      <c r="S365" s="29">
        <v>318</v>
      </c>
      <c r="T365" s="1"/>
    </row>
    <row r="366" spans="1:34" x14ac:dyDescent="0.3">
      <c r="A366" s="16">
        <v>362</v>
      </c>
      <c r="B366" s="17" t="s">
        <v>1850</v>
      </c>
      <c r="C366" s="18" t="s">
        <v>1851</v>
      </c>
      <c r="D366" s="19">
        <v>46017</v>
      </c>
      <c r="E366" s="49"/>
      <c r="F366" s="49"/>
      <c r="G366" s="20"/>
      <c r="H366" s="20"/>
      <c r="I366" s="21">
        <v>77.884399999999999</v>
      </c>
      <c r="J366" s="22">
        <f>ROUND(I366*H366,2)</f>
        <v>0</v>
      </c>
      <c r="K366" s="23" t="e">
        <f>ROUND(G366/J366,4)</f>
        <v>#DIV/0!</v>
      </c>
      <c r="L366" s="24" t="e">
        <f>1-K366</f>
        <v>#DIV/0!</v>
      </c>
      <c r="M366" s="25" t="s">
        <v>1852</v>
      </c>
      <c r="N366" s="25" t="s">
        <v>1853</v>
      </c>
      <c r="O366" s="26" t="s">
        <v>1854</v>
      </c>
      <c r="P366" s="27" t="s">
        <v>32</v>
      </c>
      <c r="Q366" s="27" t="s">
        <v>25</v>
      </c>
      <c r="R366" s="21" t="s">
        <v>39</v>
      </c>
      <c r="S366" s="29">
        <v>319</v>
      </c>
      <c r="T366" s="1"/>
    </row>
    <row r="367" spans="1:34" x14ac:dyDescent="0.3">
      <c r="A367" s="16">
        <v>363</v>
      </c>
      <c r="B367" s="17" t="s">
        <v>1855</v>
      </c>
      <c r="C367" s="18" t="s">
        <v>1856</v>
      </c>
      <c r="D367" s="19">
        <v>46017</v>
      </c>
      <c r="E367" s="49"/>
      <c r="F367" s="49"/>
      <c r="G367" s="20"/>
      <c r="H367" s="20"/>
      <c r="I367" s="21">
        <v>77.884399999999999</v>
      </c>
      <c r="J367" s="22">
        <f>ROUND(I367*H367,2)</f>
        <v>0</v>
      </c>
      <c r="K367" s="23" t="e">
        <f>ROUND(G367/J367,4)</f>
        <v>#DIV/0!</v>
      </c>
      <c r="L367" s="24" t="e">
        <f>1-K367</f>
        <v>#DIV/0!</v>
      </c>
      <c r="M367" s="25" t="s">
        <v>1857</v>
      </c>
      <c r="N367" s="25" t="s">
        <v>1858</v>
      </c>
      <c r="O367" s="26" t="s">
        <v>1859</v>
      </c>
      <c r="P367" s="27" t="s">
        <v>1459</v>
      </c>
      <c r="Q367" s="27" t="s">
        <v>25</v>
      </c>
      <c r="R367" s="21" t="s">
        <v>39</v>
      </c>
      <c r="S367" s="29">
        <v>320</v>
      </c>
      <c r="T367" s="1"/>
    </row>
    <row r="368" spans="1:34" x14ac:dyDescent="0.3">
      <c r="A368" s="16">
        <v>364</v>
      </c>
      <c r="B368" s="17" t="s">
        <v>1860</v>
      </c>
      <c r="C368" s="18" t="s">
        <v>1861</v>
      </c>
      <c r="D368" s="19">
        <v>46017</v>
      </c>
      <c r="E368" s="49"/>
      <c r="F368" s="49"/>
      <c r="G368" s="20"/>
      <c r="H368" s="20"/>
      <c r="I368" s="21">
        <v>77.884399999999999</v>
      </c>
      <c r="J368" s="22">
        <f>ROUND(I368*H368,2)</f>
        <v>0</v>
      </c>
      <c r="K368" s="23" t="e">
        <f>ROUND(G368/J368,4)</f>
        <v>#DIV/0!</v>
      </c>
      <c r="L368" s="24" t="e">
        <f>1-K368</f>
        <v>#DIV/0!</v>
      </c>
      <c r="M368" s="25" t="s">
        <v>1862</v>
      </c>
      <c r="N368" s="25" t="s">
        <v>1863</v>
      </c>
      <c r="O368" s="26" t="s">
        <v>1864</v>
      </c>
      <c r="P368" s="27" t="s">
        <v>250</v>
      </c>
      <c r="Q368" s="27" t="s">
        <v>25</v>
      </c>
      <c r="R368" s="21" t="s">
        <v>26</v>
      </c>
      <c r="S368" s="29">
        <v>321</v>
      </c>
      <c r="T368" s="1"/>
    </row>
    <row r="369" spans="1:34" x14ac:dyDescent="0.3">
      <c r="A369" s="31">
        <v>365</v>
      </c>
      <c r="B369" s="32" t="s">
        <v>1865</v>
      </c>
      <c r="C369" s="33" t="s">
        <v>1866</v>
      </c>
      <c r="D369" s="19">
        <v>46017</v>
      </c>
      <c r="E369" s="49"/>
      <c r="F369" s="49"/>
      <c r="G369" s="20"/>
      <c r="H369" s="20"/>
      <c r="I369" s="21">
        <v>77.884399999999999</v>
      </c>
      <c r="J369" s="22">
        <f>ROUND(I369*H369,2)</f>
        <v>0</v>
      </c>
      <c r="K369" s="23" t="e">
        <f>ROUND(G369/J369,4)</f>
        <v>#DIV/0!</v>
      </c>
      <c r="L369" s="24" t="e">
        <f>1-K369</f>
        <v>#DIV/0!</v>
      </c>
      <c r="M369" s="25" t="s">
        <v>1867</v>
      </c>
      <c r="N369" s="25" t="s">
        <v>1868</v>
      </c>
      <c r="O369" s="26" t="s">
        <v>1869</v>
      </c>
      <c r="P369" s="27" t="s">
        <v>24</v>
      </c>
      <c r="Q369" s="27" t="s">
        <v>25</v>
      </c>
      <c r="R369" s="21" t="s">
        <v>26</v>
      </c>
      <c r="S369" s="29">
        <v>322</v>
      </c>
      <c r="T369" s="1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 spans="1:34" x14ac:dyDescent="0.3">
      <c r="A370" s="31">
        <v>366</v>
      </c>
      <c r="B370" s="26" t="s">
        <v>1870</v>
      </c>
      <c r="C370" s="27" t="s">
        <v>1871</v>
      </c>
      <c r="D370" s="19">
        <v>46017</v>
      </c>
      <c r="E370" s="49"/>
      <c r="F370" s="49"/>
      <c r="G370" s="20"/>
      <c r="H370" s="20"/>
      <c r="I370" s="21">
        <v>77.884399999999999</v>
      </c>
      <c r="J370" s="22">
        <f>ROUND(I370*H370,2)</f>
        <v>0</v>
      </c>
      <c r="K370" s="23" t="e">
        <f>ROUND(G370/J370,4)</f>
        <v>#DIV/0!</v>
      </c>
      <c r="L370" s="24" t="e">
        <f>1-K370</f>
        <v>#DIV/0!</v>
      </c>
      <c r="M370" s="25"/>
      <c r="N370" s="25"/>
      <c r="O370" s="26" t="s">
        <v>1872</v>
      </c>
      <c r="P370" s="27" t="s">
        <v>45</v>
      </c>
      <c r="Q370" s="27" t="s">
        <v>445</v>
      </c>
      <c r="R370" s="21" t="s">
        <v>39</v>
      </c>
      <c r="S370" s="29"/>
      <c r="T370" s="1"/>
    </row>
    <row r="371" spans="1:34" x14ac:dyDescent="0.3">
      <c r="A371" s="31">
        <v>367</v>
      </c>
      <c r="B371" s="32" t="s">
        <v>1873</v>
      </c>
      <c r="C371" s="33" t="s">
        <v>1874</v>
      </c>
      <c r="D371" s="19">
        <v>46017</v>
      </c>
      <c r="E371" s="49"/>
      <c r="F371" s="49"/>
      <c r="G371" s="20"/>
      <c r="H371" s="20"/>
      <c r="I371" s="21">
        <v>77.884399999999999</v>
      </c>
      <c r="J371" s="22">
        <f>ROUND(I371*H371,2)</f>
        <v>0</v>
      </c>
      <c r="K371" s="23" t="e">
        <f>ROUND(G371/J371,4)</f>
        <v>#DIV/0!</v>
      </c>
      <c r="L371" s="24" t="e">
        <f>1-K371</f>
        <v>#DIV/0!</v>
      </c>
      <c r="M371" s="25" t="s">
        <v>1875</v>
      </c>
      <c r="N371" s="25" t="s">
        <v>1876</v>
      </c>
      <c r="O371" s="26" t="s">
        <v>1877</v>
      </c>
      <c r="P371" s="27" t="s">
        <v>440</v>
      </c>
      <c r="Q371" s="27" t="s">
        <v>25</v>
      </c>
      <c r="R371" s="21" t="s">
        <v>26</v>
      </c>
      <c r="S371" s="29">
        <v>323</v>
      </c>
      <c r="T371" s="1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 spans="1:34" x14ac:dyDescent="0.3">
      <c r="A372" s="31">
        <v>368</v>
      </c>
      <c r="B372" s="26" t="s">
        <v>1878</v>
      </c>
      <c r="C372" s="27" t="s">
        <v>1879</v>
      </c>
      <c r="D372" s="19">
        <v>46017</v>
      </c>
      <c r="E372" s="49"/>
      <c r="F372" s="49"/>
      <c r="G372" s="20"/>
      <c r="H372" s="20"/>
      <c r="I372" s="21">
        <v>77.884399999999999</v>
      </c>
      <c r="J372" s="22">
        <f>ROUND(I372*H372,2)</f>
        <v>0</v>
      </c>
      <c r="K372" s="23" t="e">
        <f>ROUND(G372/J372,4)</f>
        <v>#DIV/0!</v>
      </c>
      <c r="L372" s="24" t="e">
        <f>1-K372</f>
        <v>#DIV/0!</v>
      </c>
      <c r="M372" s="25"/>
      <c r="N372" s="25"/>
      <c r="O372" s="26" t="s">
        <v>1880</v>
      </c>
      <c r="P372" s="27" t="s">
        <v>973</v>
      </c>
      <c r="Q372" s="27" t="s">
        <v>1881</v>
      </c>
      <c r="R372" s="64" t="s">
        <v>39</v>
      </c>
      <c r="S372" s="29"/>
      <c r="T372" s="1"/>
    </row>
    <row r="373" spans="1:34" x14ac:dyDescent="0.3">
      <c r="A373" s="16">
        <v>369</v>
      </c>
      <c r="B373" s="17" t="s">
        <v>1882</v>
      </c>
      <c r="C373" s="18" t="s">
        <v>1883</v>
      </c>
      <c r="D373" s="19">
        <v>46017</v>
      </c>
      <c r="E373" s="49"/>
      <c r="F373" s="49"/>
      <c r="G373" s="20"/>
      <c r="H373" s="20"/>
      <c r="I373" s="21">
        <v>77.884399999999999</v>
      </c>
      <c r="J373" s="22">
        <f>ROUND(I373*H373,2)</f>
        <v>0</v>
      </c>
      <c r="K373" s="23" t="e">
        <f>ROUND(G373/J373,4)</f>
        <v>#DIV/0!</v>
      </c>
      <c r="L373" s="24" t="e">
        <f>1-K373</f>
        <v>#DIV/0!</v>
      </c>
      <c r="M373" s="25" t="s">
        <v>1884</v>
      </c>
      <c r="N373" s="25" t="s">
        <v>1885</v>
      </c>
      <c r="O373" s="26" t="s">
        <v>1886</v>
      </c>
      <c r="P373" s="27" t="s">
        <v>146</v>
      </c>
      <c r="Q373" s="27" t="s">
        <v>25</v>
      </c>
      <c r="R373" s="21" t="s">
        <v>26</v>
      </c>
      <c r="S373" s="29">
        <v>324</v>
      </c>
      <c r="T373" s="1"/>
    </row>
    <row r="374" spans="1:34" x14ac:dyDescent="0.3">
      <c r="A374" s="16">
        <v>370</v>
      </c>
      <c r="B374" s="17" t="s">
        <v>1887</v>
      </c>
      <c r="C374" s="34" t="s">
        <v>1888</v>
      </c>
      <c r="D374" s="19">
        <v>46017</v>
      </c>
      <c r="E374" s="49"/>
      <c r="F374" s="49"/>
      <c r="G374" s="20"/>
      <c r="H374" s="20"/>
      <c r="I374" s="21">
        <v>77.884399999999999</v>
      </c>
      <c r="J374" s="22">
        <f>ROUND(I374*H374,2)</f>
        <v>0</v>
      </c>
      <c r="K374" s="23" t="e">
        <f>ROUND(G374/J374,4)</f>
        <v>#DIV/0!</v>
      </c>
      <c r="L374" s="24" t="e">
        <f>1-K374</f>
        <v>#DIV/0!</v>
      </c>
      <c r="M374" s="25" t="s">
        <v>1889</v>
      </c>
      <c r="N374" s="25" t="s">
        <v>1890</v>
      </c>
      <c r="O374" s="26" t="s">
        <v>1891</v>
      </c>
      <c r="P374" s="27" t="s">
        <v>1036</v>
      </c>
      <c r="Q374" s="27" t="s">
        <v>25</v>
      </c>
      <c r="R374" s="21" t="s">
        <v>26</v>
      </c>
      <c r="S374" s="29">
        <v>325</v>
      </c>
      <c r="T374" s="1"/>
    </row>
    <row r="375" spans="1:34" x14ac:dyDescent="0.3">
      <c r="A375" s="16">
        <v>371</v>
      </c>
      <c r="B375" s="17" t="s">
        <v>1892</v>
      </c>
      <c r="C375" s="18" t="s">
        <v>1893</v>
      </c>
      <c r="D375" s="19">
        <v>46017</v>
      </c>
      <c r="E375" s="49"/>
      <c r="F375" s="49"/>
      <c r="G375" s="20"/>
      <c r="H375" s="20"/>
      <c r="I375" s="21">
        <v>77.884399999999999</v>
      </c>
      <c r="J375" s="22">
        <f>ROUND(I375*H375,2)</f>
        <v>0</v>
      </c>
      <c r="K375" s="23" t="e">
        <f>ROUND(G375/J375,4)</f>
        <v>#DIV/0!</v>
      </c>
      <c r="L375" s="24" t="e">
        <f>1-K375</f>
        <v>#DIV/0!</v>
      </c>
      <c r="M375" s="25" t="s">
        <v>1894</v>
      </c>
      <c r="N375" s="25" t="s">
        <v>1895</v>
      </c>
      <c r="O375" s="26" t="s">
        <v>1896</v>
      </c>
      <c r="P375" s="27" t="s">
        <v>351</v>
      </c>
      <c r="Q375" s="27" t="s">
        <v>25</v>
      </c>
      <c r="R375" s="21" t="s">
        <v>26</v>
      </c>
      <c r="S375" s="29">
        <v>326</v>
      </c>
      <c r="T375" s="1"/>
    </row>
    <row r="376" spans="1:34" x14ac:dyDescent="0.3">
      <c r="A376" s="16">
        <v>372</v>
      </c>
      <c r="B376" s="17" t="s">
        <v>1897</v>
      </c>
      <c r="C376" s="18" t="s">
        <v>1898</v>
      </c>
      <c r="D376" s="19">
        <v>46017</v>
      </c>
      <c r="E376" s="49"/>
      <c r="F376" s="49"/>
      <c r="G376" s="20"/>
      <c r="H376" s="20"/>
      <c r="I376" s="21">
        <v>77.884399999999999</v>
      </c>
      <c r="J376" s="22">
        <f>ROUND(I376*H376,2)</f>
        <v>0</v>
      </c>
      <c r="K376" s="23" t="e">
        <f>ROUND(G376/J376,4)</f>
        <v>#DIV/0!</v>
      </c>
      <c r="L376" s="24" t="e">
        <f>1-K376</f>
        <v>#DIV/0!</v>
      </c>
      <c r="M376" s="25" t="s">
        <v>1899</v>
      </c>
      <c r="N376" s="25" t="s">
        <v>1900</v>
      </c>
      <c r="O376" s="26" t="s">
        <v>1901</v>
      </c>
      <c r="P376" s="27" t="s">
        <v>351</v>
      </c>
      <c r="Q376" s="27" t="s">
        <v>25</v>
      </c>
      <c r="R376" s="21" t="s">
        <v>26</v>
      </c>
      <c r="S376" s="29">
        <v>327</v>
      </c>
      <c r="T376" s="1"/>
    </row>
    <row r="377" spans="1:34" x14ac:dyDescent="0.3">
      <c r="A377" s="16">
        <v>373</v>
      </c>
      <c r="B377" s="17" t="s">
        <v>1902</v>
      </c>
      <c r="C377" s="18" t="s">
        <v>1903</v>
      </c>
      <c r="D377" s="19">
        <v>46017</v>
      </c>
      <c r="E377" s="49"/>
      <c r="F377" s="49"/>
      <c r="G377" s="20"/>
      <c r="H377" s="20"/>
      <c r="I377" s="21">
        <v>77.884399999999999</v>
      </c>
      <c r="J377" s="22">
        <f>ROUND(I377*H377,2)</f>
        <v>0</v>
      </c>
      <c r="K377" s="23" t="e">
        <f>ROUND(G377/J377,4)</f>
        <v>#DIV/0!</v>
      </c>
      <c r="L377" s="24" t="e">
        <f>1-K377</f>
        <v>#DIV/0!</v>
      </c>
      <c r="M377" s="25" t="s">
        <v>1904</v>
      </c>
      <c r="N377" s="25" t="s">
        <v>1905</v>
      </c>
      <c r="O377" s="26" t="s">
        <v>1906</v>
      </c>
      <c r="P377" s="27" t="s">
        <v>189</v>
      </c>
      <c r="Q377" s="27" t="s">
        <v>25</v>
      </c>
      <c r="R377" s="21" t="s">
        <v>39</v>
      </c>
      <c r="S377" s="29">
        <v>328</v>
      </c>
      <c r="T377" s="1"/>
    </row>
    <row r="378" spans="1:34" x14ac:dyDescent="0.3">
      <c r="A378" s="16">
        <v>374</v>
      </c>
      <c r="B378" s="17" t="s">
        <v>1907</v>
      </c>
      <c r="C378" s="18" t="s">
        <v>1908</v>
      </c>
      <c r="D378" s="19">
        <v>46017</v>
      </c>
      <c r="E378" s="49"/>
      <c r="F378" s="49"/>
      <c r="G378" s="20"/>
      <c r="H378" s="20"/>
      <c r="I378" s="21">
        <v>77.884399999999999</v>
      </c>
      <c r="J378" s="22">
        <f>ROUND(I378*H378,2)</f>
        <v>0</v>
      </c>
      <c r="K378" s="23" t="e">
        <f>ROUND(G378/J378,4)</f>
        <v>#DIV/0!</v>
      </c>
      <c r="L378" s="24" t="e">
        <f>1-K378</f>
        <v>#DIV/0!</v>
      </c>
      <c r="M378" s="25" t="s">
        <v>1909</v>
      </c>
      <c r="N378" s="25" t="s">
        <v>1910</v>
      </c>
      <c r="O378" s="26" t="s">
        <v>1911</v>
      </c>
      <c r="P378" s="27" t="s">
        <v>146</v>
      </c>
      <c r="Q378" s="27" t="s">
        <v>25</v>
      </c>
      <c r="R378" s="64" t="s">
        <v>39</v>
      </c>
      <c r="S378" s="29">
        <v>329</v>
      </c>
      <c r="T378" s="1"/>
    </row>
    <row r="379" spans="1:34" x14ac:dyDescent="0.3">
      <c r="A379" s="16">
        <v>375</v>
      </c>
      <c r="B379" s="17" t="s">
        <v>1912</v>
      </c>
      <c r="C379" s="18" t="s">
        <v>1913</v>
      </c>
      <c r="D379" s="19">
        <v>46017</v>
      </c>
      <c r="E379" s="49"/>
      <c r="F379" s="49"/>
      <c r="G379" s="20"/>
      <c r="H379" s="20"/>
      <c r="I379" s="21">
        <v>77.884399999999999</v>
      </c>
      <c r="J379" s="22">
        <f>ROUND(I379*H379,2)</f>
        <v>0</v>
      </c>
      <c r="K379" s="23" t="e">
        <f>ROUND(G379/J379,4)</f>
        <v>#DIV/0!</v>
      </c>
      <c r="L379" s="24" t="e">
        <f>1-K379</f>
        <v>#DIV/0!</v>
      </c>
      <c r="M379" s="25" t="s">
        <v>1914</v>
      </c>
      <c r="N379" s="25" t="s">
        <v>1915</v>
      </c>
      <c r="O379" s="26" t="s">
        <v>1916</v>
      </c>
      <c r="P379" s="27" t="s">
        <v>809</v>
      </c>
      <c r="Q379" s="27" t="s">
        <v>25</v>
      </c>
      <c r="R379" s="21" t="s">
        <v>39</v>
      </c>
      <c r="S379" s="29">
        <v>330</v>
      </c>
      <c r="T379" s="1"/>
    </row>
    <row r="380" spans="1:34" x14ac:dyDescent="0.3">
      <c r="A380" s="16">
        <v>376</v>
      </c>
      <c r="B380" s="17" t="s">
        <v>1917</v>
      </c>
      <c r="C380" s="18" t="s">
        <v>1918</v>
      </c>
      <c r="D380" s="19">
        <v>46017</v>
      </c>
      <c r="E380" s="49"/>
      <c r="F380" s="49"/>
      <c r="G380" s="20"/>
      <c r="H380" s="20"/>
      <c r="I380" s="21">
        <v>77.884399999999999</v>
      </c>
      <c r="J380" s="22">
        <f>ROUND(I380*H380,2)</f>
        <v>0</v>
      </c>
      <c r="K380" s="23" t="e">
        <f>ROUND(G380/J380,4)</f>
        <v>#DIV/0!</v>
      </c>
      <c r="L380" s="24" t="e">
        <f>1-K380</f>
        <v>#DIV/0!</v>
      </c>
      <c r="M380" s="25" t="s">
        <v>1919</v>
      </c>
      <c r="N380" s="25" t="s">
        <v>1920</v>
      </c>
      <c r="O380" s="26" t="s">
        <v>1921</v>
      </c>
      <c r="P380" s="27" t="s">
        <v>1326</v>
      </c>
      <c r="Q380" s="27" t="s">
        <v>25</v>
      </c>
      <c r="R380" s="21" t="s">
        <v>39</v>
      </c>
      <c r="S380" s="29">
        <v>331</v>
      </c>
      <c r="T380" s="1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 spans="1:34" x14ac:dyDescent="0.3">
      <c r="A381" s="16">
        <v>377</v>
      </c>
      <c r="B381" s="17" t="s">
        <v>1922</v>
      </c>
      <c r="C381" s="18" t="s">
        <v>1923</v>
      </c>
      <c r="D381" s="19">
        <v>46017</v>
      </c>
      <c r="E381" s="49"/>
      <c r="F381" s="49"/>
      <c r="G381" s="20"/>
      <c r="H381" s="20"/>
      <c r="I381" s="21">
        <v>77.884399999999999</v>
      </c>
      <c r="J381" s="22">
        <f>ROUND(I381*H381,2)</f>
        <v>0</v>
      </c>
      <c r="K381" s="23" t="e">
        <f>ROUND(G381/J381,4)</f>
        <v>#DIV/0!</v>
      </c>
      <c r="L381" s="24" t="e">
        <f>1-K381</f>
        <v>#DIV/0!</v>
      </c>
      <c r="M381" s="25" t="s">
        <v>1924</v>
      </c>
      <c r="N381" s="25" t="s">
        <v>1925</v>
      </c>
      <c r="O381" s="26" t="s">
        <v>1926</v>
      </c>
      <c r="P381" s="27" t="s">
        <v>250</v>
      </c>
      <c r="Q381" s="27" t="s">
        <v>25</v>
      </c>
      <c r="R381" s="64" t="s">
        <v>39</v>
      </c>
      <c r="S381" s="29">
        <v>332</v>
      </c>
      <c r="T381" s="1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 spans="1:34" x14ac:dyDescent="0.3">
      <c r="A382" s="31">
        <v>378</v>
      </c>
      <c r="B382" s="32" t="s">
        <v>1927</v>
      </c>
      <c r="C382" s="33" t="s">
        <v>1928</v>
      </c>
      <c r="D382" s="19">
        <v>46017</v>
      </c>
      <c r="E382" s="49"/>
      <c r="F382" s="49"/>
      <c r="G382" s="20"/>
      <c r="H382" s="20"/>
      <c r="I382" s="21">
        <v>77.884399999999999</v>
      </c>
      <c r="J382" s="22">
        <f>ROUND(I382*H382,2)</f>
        <v>0</v>
      </c>
      <c r="K382" s="23" t="e">
        <f>ROUND(G382/J382,4)</f>
        <v>#DIV/0!</v>
      </c>
      <c r="L382" s="24" t="e">
        <f>1-K382</f>
        <v>#DIV/0!</v>
      </c>
      <c r="M382" s="25" t="s">
        <v>1929</v>
      </c>
      <c r="N382" s="25" t="s">
        <v>1930</v>
      </c>
      <c r="O382" s="26" t="s">
        <v>1931</v>
      </c>
      <c r="P382" s="27" t="s">
        <v>903</v>
      </c>
      <c r="Q382" s="27" t="s">
        <v>25</v>
      </c>
      <c r="R382" s="21" t="s">
        <v>39</v>
      </c>
      <c r="S382" s="29">
        <v>333</v>
      </c>
      <c r="T382" s="1"/>
    </row>
    <row r="383" spans="1:34" x14ac:dyDescent="0.3">
      <c r="A383" s="16">
        <v>379</v>
      </c>
      <c r="B383" s="17" t="s">
        <v>1932</v>
      </c>
      <c r="C383" s="18" t="s">
        <v>1933</v>
      </c>
      <c r="D383" s="19">
        <v>46017</v>
      </c>
      <c r="E383" s="49"/>
      <c r="F383" s="49"/>
      <c r="G383" s="20"/>
      <c r="H383" s="20"/>
      <c r="I383" s="21">
        <v>77.884399999999999</v>
      </c>
      <c r="J383" s="22">
        <f>ROUND(I383*H383,2)</f>
        <v>0</v>
      </c>
      <c r="K383" s="23" t="e">
        <f>ROUND(G383/J383,4)</f>
        <v>#DIV/0!</v>
      </c>
      <c r="L383" s="24" t="e">
        <f>1-K383</f>
        <v>#DIV/0!</v>
      </c>
      <c r="M383" s="25" t="s">
        <v>1934</v>
      </c>
      <c r="N383" s="25" t="s">
        <v>1935</v>
      </c>
      <c r="O383" s="26" t="s">
        <v>1936</v>
      </c>
      <c r="P383" s="27" t="s">
        <v>628</v>
      </c>
      <c r="Q383" s="27" t="s">
        <v>25</v>
      </c>
      <c r="R383" s="21" t="s">
        <v>39</v>
      </c>
      <c r="S383" s="29">
        <v>334</v>
      </c>
      <c r="T383" s="1"/>
    </row>
    <row r="384" spans="1:34" x14ac:dyDescent="0.3">
      <c r="A384" s="16">
        <v>380</v>
      </c>
      <c r="B384" s="17" t="s">
        <v>1937</v>
      </c>
      <c r="C384" s="18" t="s">
        <v>1938</v>
      </c>
      <c r="D384" s="19">
        <v>46017</v>
      </c>
      <c r="E384" s="49"/>
      <c r="F384" s="49"/>
      <c r="G384" s="20"/>
      <c r="H384" s="20"/>
      <c r="I384" s="21">
        <v>77.884399999999999</v>
      </c>
      <c r="J384" s="22">
        <f>ROUND(I384*H384,2)</f>
        <v>0</v>
      </c>
      <c r="K384" s="23" t="e">
        <f>ROUND(G384/J384,4)</f>
        <v>#DIV/0!</v>
      </c>
      <c r="L384" s="24" t="e">
        <f>1-K384</f>
        <v>#DIV/0!</v>
      </c>
      <c r="M384" s="25" t="s">
        <v>1939</v>
      </c>
      <c r="N384" s="25" t="s">
        <v>1940</v>
      </c>
      <c r="O384" s="26" t="s">
        <v>1941</v>
      </c>
      <c r="P384" s="27" t="s">
        <v>903</v>
      </c>
      <c r="Q384" s="27" t="s">
        <v>25</v>
      </c>
      <c r="R384" s="21" t="s">
        <v>26</v>
      </c>
      <c r="S384" s="29">
        <v>335</v>
      </c>
      <c r="T384" s="1"/>
    </row>
    <row r="385" spans="1:34" x14ac:dyDescent="0.3">
      <c r="A385" s="31">
        <v>381</v>
      </c>
      <c r="B385" s="32" t="s">
        <v>1942</v>
      </c>
      <c r="C385" s="33" t="s">
        <v>1943</v>
      </c>
      <c r="D385" s="19">
        <v>46017</v>
      </c>
      <c r="E385" s="49"/>
      <c r="F385" s="49"/>
      <c r="G385" s="20"/>
      <c r="H385" s="20"/>
      <c r="I385" s="21">
        <v>77.884399999999999</v>
      </c>
      <c r="J385" s="22">
        <f>ROUND(I385*H385,2)</f>
        <v>0</v>
      </c>
      <c r="K385" s="23" t="e">
        <f>ROUND(G385/J385,4)</f>
        <v>#DIV/0!</v>
      </c>
      <c r="L385" s="24" t="e">
        <f>1-K385</f>
        <v>#DIV/0!</v>
      </c>
      <c r="M385" s="25" t="s">
        <v>1944</v>
      </c>
      <c r="N385" s="25" t="s">
        <v>1945</v>
      </c>
      <c r="O385" s="26" t="s">
        <v>1946</v>
      </c>
      <c r="P385" s="27" t="s">
        <v>892</v>
      </c>
      <c r="Q385" s="27" t="s">
        <v>25</v>
      </c>
      <c r="R385" s="64" t="s">
        <v>26</v>
      </c>
      <c r="S385" s="29">
        <v>336</v>
      </c>
      <c r="T385" s="1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 spans="1:34" x14ac:dyDescent="0.3">
      <c r="A386" s="16">
        <v>382</v>
      </c>
      <c r="B386" s="17" t="s">
        <v>1947</v>
      </c>
      <c r="C386" s="18" t="s">
        <v>1948</v>
      </c>
      <c r="D386" s="19">
        <v>46017</v>
      </c>
      <c r="E386" s="49"/>
      <c r="F386" s="49"/>
      <c r="G386" s="20"/>
      <c r="H386" s="20"/>
      <c r="I386" s="21">
        <v>77.884399999999999</v>
      </c>
      <c r="J386" s="22">
        <f>ROUND(I386*H386,2)</f>
        <v>0</v>
      </c>
      <c r="K386" s="23" t="e">
        <f>ROUND(G386/J386,4)</f>
        <v>#DIV/0!</v>
      </c>
      <c r="L386" s="24" t="e">
        <f>1-K386</f>
        <v>#DIV/0!</v>
      </c>
      <c r="M386" s="25" t="s">
        <v>1949</v>
      </c>
      <c r="N386" s="25" t="s">
        <v>1950</v>
      </c>
      <c r="O386" s="26" t="s">
        <v>1951</v>
      </c>
      <c r="P386" s="27" t="s">
        <v>1952</v>
      </c>
      <c r="Q386" s="27" t="s">
        <v>25</v>
      </c>
      <c r="R386" s="64" t="s">
        <v>39</v>
      </c>
      <c r="S386" s="29">
        <v>337</v>
      </c>
      <c r="T386" s="1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 spans="1:34" x14ac:dyDescent="0.3">
      <c r="A387" s="16">
        <v>383</v>
      </c>
      <c r="B387" s="17" t="s">
        <v>1953</v>
      </c>
      <c r="C387" s="34" t="s">
        <v>1954</v>
      </c>
      <c r="D387" s="19">
        <v>46017</v>
      </c>
      <c r="E387" s="49"/>
      <c r="F387" s="49"/>
      <c r="G387" s="20"/>
      <c r="H387" s="20"/>
      <c r="I387" s="21">
        <v>77.884399999999999</v>
      </c>
      <c r="J387" s="22">
        <f>ROUND(I387*H387,2)</f>
        <v>0</v>
      </c>
      <c r="K387" s="23" t="e">
        <f>ROUND(G387/J387,4)</f>
        <v>#DIV/0!</v>
      </c>
      <c r="L387" s="24" t="e">
        <f>1-K387</f>
        <v>#DIV/0!</v>
      </c>
      <c r="M387" s="25" t="s">
        <v>1955</v>
      </c>
      <c r="N387" s="25" t="s">
        <v>1956</v>
      </c>
      <c r="O387" s="26" t="s">
        <v>1957</v>
      </c>
      <c r="P387" s="27" t="s">
        <v>1085</v>
      </c>
      <c r="Q387" s="27" t="s">
        <v>25</v>
      </c>
      <c r="R387" s="21" t="s">
        <v>26</v>
      </c>
      <c r="S387" s="29">
        <v>338</v>
      </c>
      <c r="T387" s="1"/>
    </row>
    <row r="388" spans="1:34" x14ac:dyDescent="0.3">
      <c r="A388" s="16">
        <v>384</v>
      </c>
      <c r="B388" s="17" t="s">
        <v>1958</v>
      </c>
      <c r="C388" s="18" t="s">
        <v>1959</v>
      </c>
      <c r="D388" s="19">
        <v>46017</v>
      </c>
      <c r="E388" s="49"/>
      <c r="F388" s="49"/>
      <c r="G388" s="20"/>
      <c r="H388" s="20"/>
      <c r="I388" s="21">
        <v>77.884399999999999</v>
      </c>
      <c r="J388" s="22">
        <f>ROUND(I388*H388,2)</f>
        <v>0</v>
      </c>
      <c r="K388" s="23" t="e">
        <f>ROUND(G388/J388,4)</f>
        <v>#DIV/0!</v>
      </c>
      <c r="L388" s="24" t="e">
        <f>1-K388</f>
        <v>#DIV/0!</v>
      </c>
      <c r="M388" s="25" t="s">
        <v>1960</v>
      </c>
      <c r="N388" s="25" t="s">
        <v>1961</v>
      </c>
      <c r="O388" s="26" t="s">
        <v>1962</v>
      </c>
      <c r="P388" s="27" t="s">
        <v>903</v>
      </c>
      <c r="Q388" s="27" t="s">
        <v>25</v>
      </c>
      <c r="R388" s="21" t="s">
        <v>26</v>
      </c>
      <c r="S388" s="29">
        <v>339</v>
      </c>
      <c r="T388" s="1"/>
    </row>
    <row r="389" spans="1:34" x14ac:dyDescent="0.3">
      <c r="A389" s="16">
        <v>385</v>
      </c>
      <c r="B389" s="17" t="s">
        <v>1963</v>
      </c>
      <c r="C389" s="18" t="s">
        <v>1964</v>
      </c>
      <c r="D389" s="19">
        <v>46017</v>
      </c>
      <c r="E389" s="49"/>
      <c r="F389" s="49"/>
      <c r="G389" s="20"/>
      <c r="H389" s="20"/>
      <c r="I389" s="21">
        <v>77.884399999999999</v>
      </c>
      <c r="J389" s="22">
        <f>ROUND(I389*H389,2)</f>
        <v>0</v>
      </c>
      <c r="K389" s="23" t="e">
        <f>ROUND(G389/J389,4)</f>
        <v>#DIV/0!</v>
      </c>
      <c r="L389" s="24" t="e">
        <f>1-K389</f>
        <v>#DIV/0!</v>
      </c>
      <c r="M389" s="25" t="s">
        <v>1965</v>
      </c>
      <c r="N389" s="25" t="s">
        <v>1966</v>
      </c>
      <c r="O389" s="26" t="s">
        <v>1967</v>
      </c>
      <c r="P389" s="27" t="s">
        <v>351</v>
      </c>
      <c r="Q389" s="27" t="s">
        <v>25</v>
      </c>
      <c r="R389" s="21" t="s">
        <v>26</v>
      </c>
      <c r="S389" s="29">
        <v>340</v>
      </c>
      <c r="T389" s="1"/>
    </row>
    <row r="390" spans="1:34" x14ac:dyDescent="0.3">
      <c r="A390" s="31">
        <v>386</v>
      </c>
      <c r="B390" s="32" t="s">
        <v>1968</v>
      </c>
      <c r="C390" s="33" t="s">
        <v>1969</v>
      </c>
      <c r="D390" s="19">
        <v>46017</v>
      </c>
      <c r="E390" s="49"/>
      <c r="F390" s="49"/>
      <c r="G390" s="20"/>
      <c r="H390" s="20"/>
      <c r="I390" s="21">
        <v>77.884399999999999</v>
      </c>
      <c r="J390" s="22">
        <f>ROUND(I390*H390,2)</f>
        <v>0</v>
      </c>
      <c r="K390" s="23" t="e">
        <f>ROUND(G390/J390,4)</f>
        <v>#DIV/0!</v>
      </c>
      <c r="L390" s="24" t="e">
        <f>1-K390</f>
        <v>#DIV/0!</v>
      </c>
      <c r="M390" s="25" t="s">
        <v>1970</v>
      </c>
      <c r="N390" s="25" t="s">
        <v>1971</v>
      </c>
      <c r="O390" s="26" t="s">
        <v>1972</v>
      </c>
      <c r="P390" s="27" t="s">
        <v>1973</v>
      </c>
      <c r="Q390" s="27" t="s">
        <v>25</v>
      </c>
      <c r="R390" s="21" t="s">
        <v>39</v>
      </c>
      <c r="S390" s="29">
        <v>341</v>
      </c>
      <c r="T390" s="1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 spans="1:34" x14ac:dyDescent="0.3">
      <c r="A391" s="16">
        <v>387</v>
      </c>
      <c r="B391" s="17" t="s">
        <v>1974</v>
      </c>
      <c r="C391" s="18" t="s">
        <v>1975</v>
      </c>
      <c r="D391" s="19">
        <v>46017</v>
      </c>
      <c r="E391" s="49"/>
      <c r="F391" s="49"/>
      <c r="G391" s="20"/>
      <c r="H391" s="20"/>
      <c r="I391" s="21">
        <v>77.884399999999999</v>
      </c>
      <c r="J391" s="22">
        <f>ROUND(I391*H391,2)</f>
        <v>0</v>
      </c>
      <c r="K391" s="23" t="e">
        <f>ROUND(G391/J391,4)</f>
        <v>#DIV/0!</v>
      </c>
      <c r="L391" s="24" t="e">
        <f>1-K391</f>
        <v>#DIV/0!</v>
      </c>
      <c r="M391" s="25" t="s">
        <v>1976</v>
      </c>
      <c r="N391" s="25" t="s">
        <v>1977</v>
      </c>
      <c r="O391" s="26" t="s">
        <v>1978</v>
      </c>
      <c r="P391" s="27" t="s">
        <v>903</v>
      </c>
      <c r="Q391" s="27" t="s">
        <v>25</v>
      </c>
      <c r="R391" s="64" t="s">
        <v>39</v>
      </c>
      <c r="S391" s="29">
        <v>342</v>
      </c>
      <c r="T391" s="1"/>
    </row>
    <row r="392" spans="1:34" x14ac:dyDescent="0.3">
      <c r="A392" s="16">
        <v>388</v>
      </c>
      <c r="B392" s="17" t="s">
        <v>1979</v>
      </c>
      <c r="C392" s="18" t="s">
        <v>1980</v>
      </c>
      <c r="D392" s="19">
        <v>46017</v>
      </c>
      <c r="E392" s="49"/>
      <c r="F392" s="49"/>
      <c r="G392" s="20"/>
      <c r="H392" s="20"/>
      <c r="I392" s="21">
        <v>77.884399999999999</v>
      </c>
      <c r="J392" s="22">
        <f>ROUND(I392*H392,2)</f>
        <v>0</v>
      </c>
      <c r="K392" s="23" t="e">
        <f>ROUND(G392/J392,4)</f>
        <v>#DIV/0!</v>
      </c>
      <c r="L392" s="24" t="e">
        <f>1-K392</f>
        <v>#DIV/0!</v>
      </c>
      <c r="M392" s="25" t="s">
        <v>1981</v>
      </c>
      <c r="N392" s="25" t="s">
        <v>1982</v>
      </c>
      <c r="O392" s="26" t="s">
        <v>1983</v>
      </c>
      <c r="P392" s="27" t="s">
        <v>1519</v>
      </c>
      <c r="Q392" s="27" t="s">
        <v>25</v>
      </c>
      <c r="R392" s="21" t="s">
        <v>26</v>
      </c>
      <c r="S392" s="29">
        <v>343</v>
      </c>
      <c r="T392" s="1"/>
    </row>
    <row r="393" spans="1:34" x14ac:dyDescent="0.3">
      <c r="A393" s="31">
        <v>389</v>
      </c>
      <c r="B393" s="26" t="s">
        <v>1984</v>
      </c>
      <c r="C393" s="27" t="s">
        <v>1985</v>
      </c>
      <c r="D393" s="19">
        <v>46017</v>
      </c>
      <c r="E393" s="49"/>
      <c r="F393" s="49"/>
      <c r="G393" s="20"/>
      <c r="H393" s="20"/>
      <c r="I393" s="21">
        <v>77.884399999999999</v>
      </c>
      <c r="J393" s="22">
        <f>ROUND(I393*H393,2)</f>
        <v>0</v>
      </c>
      <c r="K393" s="23" t="e">
        <f>ROUND(G393/J393,4)</f>
        <v>#DIV/0!</v>
      </c>
      <c r="L393" s="24" t="e">
        <f>1-K393</f>
        <v>#DIV/0!</v>
      </c>
      <c r="M393" s="25"/>
      <c r="N393" s="25"/>
      <c r="O393" s="26" t="s">
        <v>1986</v>
      </c>
      <c r="P393" s="27" t="s">
        <v>1687</v>
      </c>
      <c r="Q393" s="27" t="s">
        <v>25</v>
      </c>
      <c r="R393" s="21" t="s">
        <v>26</v>
      </c>
      <c r="S393" s="29"/>
      <c r="T393" s="1"/>
    </row>
    <row r="394" spans="1:34" x14ac:dyDescent="0.3">
      <c r="A394" s="31">
        <v>390</v>
      </c>
      <c r="B394" s="26" t="s">
        <v>1987</v>
      </c>
      <c r="C394" s="27" t="s">
        <v>1988</v>
      </c>
      <c r="D394" s="19">
        <v>46017</v>
      </c>
      <c r="E394" s="49"/>
      <c r="F394" s="49"/>
      <c r="G394" s="20"/>
      <c r="H394" s="20"/>
      <c r="I394" s="21">
        <v>77.884399999999999</v>
      </c>
      <c r="J394" s="22">
        <f>ROUND(I394*H394,2)</f>
        <v>0</v>
      </c>
      <c r="K394" s="23" t="e">
        <f>ROUND(G394/J394,4)</f>
        <v>#DIV/0!</v>
      </c>
      <c r="L394" s="24" t="e">
        <f>1-K394</f>
        <v>#DIV/0!</v>
      </c>
      <c r="M394" s="25"/>
      <c r="N394" s="25"/>
      <c r="O394" s="26" t="s">
        <v>1989</v>
      </c>
      <c r="P394" s="27" t="s">
        <v>1990</v>
      </c>
      <c r="Q394" s="27" t="s">
        <v>25</v>
      </c>
      <c r="R394" s="21" t="s">
        <v>39</v>
      </c>
      <c r="S394" s="29"/>
      <c r="T394" s="1"/>
    </row>
    <row r="395" spans="1:34" x14ac:dyDescent="0.3">
      <c r="A395" s="16">
        <v>391</v>
      </c>
      <c r="B395" s="17" t="s">
        <v>1991</v>
      </c>
      <c r="C395" s="18" t="s">
        <v>1992</v>
      </c>
      <c r="D395" s="19">
        <v>46017</v>
      </c>
      <c r="E395" s="49"/>
      <c r="F395" s="49"/>
      <c r="G395" s="20"/>
      <c r="H395" s="20"/>
      <c r="I395" s="21">
        <v>77.884399999999999</v>
      </c>
      <c r="J395" s="22">
        <f>ROUND(I395*H395,2)</f>
        <v>0</v>
      </c>
      <c r="K395" s="23" t="e">
        <f>ROUND(G395/J395,4)</f>
        <v>#DIV/0!</v>
      </c>
      <c r="L395" s="24" t="e">
        <f>1-K395</f>
        <v>#DIV/0!</v>
      </c>
      <c r="M395" s="25" t="s">
        <v>1993</v>
      </c>
      <c r="N395" s="25" t="s">
        <v>1994</v>
      </c>
      <c r="O395" s="26" t="s">
        <v>1995</v>
      </c>
      <c r="P395" s="27" t="s">
        <v>1996</v>
      </c>
      <c r="Q395" s="27" t="s">
        <v>25</v>
      </c>
      <c r="R395" s="21" t="s">
        <v>26</v>
      </c>
      <c r="S395" s="29">
        <v>344</v>
      </c>
      <c r="T395" s="1"/>
    </row>
    <row r="396" spans="1:34" x14ac:dyDescent="0.3">
      <c r="A396" s="16">
        <v>392</v>
      </c>
      <c r="B396" s="17" t="s">
        <v>1997</v>
      </c>
      <c r="C396" s="18" t="s">
        <v>1998</v>
      </c>
      <c r="D396" s="19">
        <v>46017</v>
      </c>
      <c r="E396" s="49"/>
      <c r="F396" s="49"/>
      <c r="G396" s="20"/>
      <c r="H396" s="20"/>
      <c r="I396" s="21">
        <v>77.884399999999999</v>
      </c>
      <c r="J396" s="22">
        <f>ROUND(I396*H396,2)</f>
        <v>0</v>
      </c>
      <c r="K396" s="23" t="e">
        <f>ROUND(G396/J396,4)</f>
        <v>#DIV/0!</v>
      </c>
      <c r="L396" s="24" t="e">
        <f>1-K396</f>
        <v>#DIV/0!</v>
      </c>
      <c r="M396" s="25" t="s">
        <v>1999</v>
      </c>
      <c r="N396" s="25" t="s">
        <v>2000</v>
      </c>
      <c r="O396" s="26" t="s">
        <v>2001</v>
      </c>
      <c r="P396" s="27" t="s">
        <v>123</v>
      </c>
      <c r="Q396" s="27" t="s">
        <v>25</v>
      </c>
      <c r="R396" s="21" t="s">
        <v>39</v>
      </c>
      <c r="S396" s="29">
        <v>345</v>
      </c>
      <c r="T396" s="1"/>
    </row>
    <row r="397" spans="1:34" x14ac:dyDescent="0.3">
      <c r="A397" s="16">
        <v>393</v>
      </c>
      <c r="B397" s="17" t="s">
        <v>2002</v>
      </c>
      <c r="C397" s="18" t="s">
        <v>2003</v>
      </c>
      <c r="D397" s="19">
        <v>46017</v>
      </c>
      <c r="E397" s="49"/>
      <c r="F397" s="49"/>
      <c r="G397" s="20"/>
      <c r="H397" s="20"/>
      <c r="I397" s="21">
        <v>77.884399999999999</v>
      </c>
      <c r="J397" s="22">
        <f>ROUND(I397*H397,2)</f>
        <v>0</v>
      </c>
      <c r="K397" s="23" t="e">
        <f>ROUND(G397/J397,4)</f>
        <v>#DIV/0!</v>
      </c>
      <c r="L397" s="24" t="e">
        <f>1-K397</f>
        <v>#DIV/0!</v>
      </c>
      <c r="M397" s="25" t="s">
        <v>2004</v>
      </c>
      <c r="N397" s="25" t="s">
        <v>2005</v>
      </c>
      <c r="O397" s="26" t="s">
        <v>2006</v>
      </c>
      <c r="P397" s="27" t="s">
        <v>95</v>
      </c>
      <c r="Q397" s="27" t="s">
        <v>25</v>
      </c>
      <c r="R397" s="21" t="s">
        <v>26</v>
      </c>
      <c r="S397" s="29">
        <v>346</v>
      </c>
      <c r="T397" s="1"/>
    </row>
    <row r="398" spans="1:34" x14ac:dyDescent="0.3">
      <c r="A398" s="16">
        <v>394</v>
      </c>
      <c r="B398" s="17" t="s">
        <v>2007</v>
      </c>
      <c r="C398" s="18" t="s">
        <v>2008</v>
      </c>
      <c r="D398" s="19">
        <v>46017</v>
      </c>
      <c r="E398" s="49"/>
      <c r="F398" s="49"/>
      <c r="G398" s="20"/>
      <c r="H398" s="20"/>
      <c r="I398" s="21">
        <v>77.884399999999999</v>
      </c>
      <c r="J398" s="22">
        <f>ROUND(I398*H398,2)</f>
        <v>0</v>
      </c>
      <c r="K398" s="23" t="e">
        <f>ROUND(G398/J398,4)</f>
        <v>#DIV/0!</v>
      </c>
      <c r="L398" s="24" t="e">
        <f>1-K398</f>
        <v>#DIV/0!</v>
      </c>
      <c r="M398" s="25" t="s">
        <v>2009</v>
      </c>
      <c r="N398" s="25" t="s">
        <v>2010</v>
      </c>
      <c r="O398" s="26" t="s">
        <v>2011</v>
      </c>
      <c r="P398" s="27" t="s">
        <v>134</v>
      </c>
      <c r="Q398" s="27" t="s">
        <v>25</v>
      </c>
      <c r="R398" s="21" t="s">
        <v>39</v>
      </c>
      <c r="S398" s="29">
        <v>347</v>
      </c>
      <c r="T398" s="1"/>
    </row>
    <row r="399" spans="1:34" x14ac:dyDescent="0.3">
      <c r="A399" s="16">
        <v>395</v>
      </c>
      <c r="B399" s="17" t="s">
        <v>2012</v>
      </c>
      <c r="C399" s="18" t="s">
        <v>2013</v>
      </c>
      <c r="D399" s="19">
        <v>46017</v>
      </c>
      <c r="E399" s="49"/>
      <c r="F399" s="49"/>
      <c r="G399" s="20"/>
      <c r="H399" s="20"/>
      <c r="I399" s="21">
        <v>77.884399999999999</v>
      </c>
      <c r="J399" s="22">
        <f>ROUND(I399*H399,2)</f>
        <v>0</v>
      </c>
      <c r="K399" s="23" t="e">
        <f>ROUND(G399/J399,4)</f>
        <v>#DIV/0!</v>
      </c>
      <c r="L399" s="24" t="e">
        <f>1-K399</f>
        <v>#DIV/0!</v>
      </c>
      <c r="M399" s="25" t="s">
        <v>2014</v>
      </c>
      <c r="N399" s="25" t="s">
        <v>2015</v>
      </c>
      <c r="O399" s="26" t="s">
        <v>2016</v>
      </c>
      <c r="P399" s="27" t="s">
        <v>580</v>
      </c>
      <c r="Q399" s="27" t="s">
        <v>25</v>
      </c>
      <c r="R399" s="21" t="s">
        <v>26</v>
      </c>
      <c r="S399" s="29">
        <v>348</v>
      </c>
      <c r="T399" s="1"/>
    </row>
    <row r="400" spans="1:34" x14ac:dyDescent="0.3">
      <c r="A400" s="16">
        <v>396</v>
      </c>
      <c r="B400" s="17" t="s">
        <v>2017</v>
      </c>
      <c r="C400" s="18" t="s">
        <v>2018</v>
      </c>
      <c r="D400" s="19">
        <v>46017</v>
      </c>
      <c r="E400" s="49"/>
      <c r="F400" s="49"/>
      <c r="G400" s="20"/>
      <c r="H400" s="20"/>
      <c r="I400" s="21">
        <v>77.884399999999999</v>
      </c>
      <c r="J400" s="22">
        <f>ROUND(I400*H400,2)</f>
        <v>0</v>
      </c>
      <c r="K400" s="23" t="e">
        <f>ROUND(G400/J400,4)</f>
        <v>#DIV/0!</v>
      </c>
      <c r="L400" s="24" t="e">
        <f>1-K400</f>
        <v>#DIV/0!</v>
      </c>
      <c r="M400" s="25" t="s">
        <v>2019</v>
      </c>
      <c r="N400" s="25" t="s">
        <v>2020</v>
      </c>
      <c r="O400" s="26" t="s">
        <v>2021</v>
      </c>
      <c r="P400" s="27" t="s">
        <v>1952</v>
      </c>
      <c r="Q400" s="27" t="s">
        <v>25</v>
      </c>
      <c r="R400" s="21" t="s">
        <v>26</v>
      </c>
      <c r="S400" s="29">
        <v>349</v>
      </c>
      <c r="T400" s="1"/>
    </row>
    <row r="401" spans="1:34" x14ac:dyDescent="0.3">
      <c r="A401" s="16">
        <v>397</v>
      </c>
      <c r="B401" s="17" t="s">
        <v>2022</v>
      </c>
      <c r="C401" s="34" t="s">
        <v>2023</v>
      </c>
      <c r="D401" s="19">
        <v>46017</v>
      </c>
      <c r="E401" s="49"/>
      <c r="F401" s="49"/>
      <c r="G401" s="20"/>
      <c r="H401" s="20"/>
      <c r="I401" s="21">
        <v>77.884399999999999</v>
      </c>
      <c r="J401" s="22">
        <f>ROUND(I401*H401,2)</f>
        <v>0</v>
      </c>
      <c r="K401" s="23" t="e">
        <f>ROUND(G401/J401,4)</f>
        <v>#DIV/0!</v>
      </c>
      <c r="L401" s="24" t="e">
        <f>1-K401</f>
        <v>#DIV/0!</v>
      </c>
      <c r="M401" s="25" t="s">
        <v>2024</v>
      </c>
      <c r="N401" s="25" t="s">
        <v>2025</v>
      </c>
      <c r="O401" s="26" t="s">
        <v>2026</v>
      </c>
      <c r="P401" s="27" t="s">
        <v>580</v>
      </c>
      <c r="Q401" s="27" t="s">
        <v>25</v>
      </c>
      <c r="R401" s="21" t="s">
        <v>39</v>
      </c>
      <c r="S401" s="29">
        <v>350</v>
      </c>
      <c r="T401" s="1"/>
    </row>
    <row r="402" spans="1:34" x14ac:dyDescent="0.3">
      <c r="A402" s="16">
        <v>398</v>
      </c>
      <c r="B402" s="17" t="s">
        <v>2027</v>
      </c>
      <c r="C402" s="18" t="s">
        <v>2028</v>
      </c>
      <c r="D402" s="19">
        <v>46017</v>
      </c>
      <c r="E402" s="49"/>
      <c r="F402" s="49"/>
      <c r="G402" s="20"/>
      <c r="H402" s="20"/>
      <c r="I402" s="21">
        <v>77.884399999999999</v>
      </c>
      <c r="J402" s="22">
        <f>ROUND(I402*H402,2)</f>
        <v>0</v>
      </c>
      <c r="K402" s="23" t="e">
        <f>ROUND(G402/J402,4)</f>
        <v>#DIV/0!</v>
      </c>
      <c r="L402" s="24" t="e">
        <f>1-K402</f>
        <v>#DIV/0!</v>
      </c>
      <c r="M402" s="25" t="s">
        <v>2029</v>
      </c>
      <c r="N402" s="25" t="s">
        <v>2030</v>
      </c>
      <c r="O402" s="26" t="s">
        <v>2031</v>
      </c>
      <c r="P402" s="27" t="s">
        <v>414</v>
      </c>
      <c r="Q402" s="27" t="s">
        <v>25</v>
      </c>
      <c r="R402" s="21" t="s">
        <v>26</v>
      </c>
      <c r="S402" s="29">
        <v>351</v>
      </c>
      <c r="T402" s="1"/>
    </row>
    <row r="403" spans="1:34" x14ac:dyDescent="0.3">
      <c r="A403" s="16">
        <v>399</v>
      </c>
      <c r="B403" s="17" t="s">
        <v>2032</v>
      </c>
      <c r="C403" s="18" t="s">
        <v>2033</v>
      </c>
      <c r="D403" s="19">
        <v>46017</v>
      </c>
      <c r="E403" s="49"/>
      <c r="F403" s="49"/>
      <c r="G403" s="20"/>
      <c r="H403" s="20"/>
      <c r="I403" s="21">
        <v>77.884399999999999</v>
      </c>
      <c r="J403" s="22">
        <f>ROUND(I403*H403,2)</f>
        <v>0</v>
      </c>
      <c r="K403" s="23" t="e">
        <f>ROUND(G403/J403,4)</f>
        <v>#DIV/0!</v>
      </c>
      <c r="L403" s="24" t="e">
        <f>1-K403</f>
        <v>#DIV/0!</v>
      </c>
      <c r="M403" s="25" t="s">
        <v>2034</v>
      </c>
      <c r="N403" s="25" t="s">
        <v>2035</v>
      </c>
      <c r="O403" s="26" t="s">
        <v>2036</v>
      </c>
      <c r="P403" s="27" t="s">
        <v>68</v>
      </c>
      <c r="Q403" s="27" t="s">
        <v>25</v>
      </c>
      <c r="R403" s="21" t="s">
        <v>26</v>
      </c>
      <c r="S403" s="29">
        <v>352</v>
      </c>
      <c r="T403" s="1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 spans="1:34" x14ac:dyDescent="0.3">
      <c r="A404" s="16">
        <v>400</v>
      </c>
      <c r="B404" s="17" t="s">
        <v>2037</v>
      </c>
      <c r="C404" s="18" t="s">
        <v>2038</v>
      </c>
      <c r="D404" s="19">
        <v>46017</v>
      </c>
      <c r="E404" s="49"/>
      <c r="F404" s="49"/>
      <c r="G404" s="20"/>
      <c r="H404" s="20"/>
      <c r="I404" s="21">
        <v>77.884399999999999</v>
      </c>
      <c r="J404" s="22">
        <f>ROUND(I404*H404,2)</f>
        <v>0</v>
      </c>
      <c r="K404" s="23" t="e">
        <f>ROUND(G404/J404,4)</f>
        <v>#DIV/0!</v>
      </c>
      <c r="L404" s="24" t="e">
        <f>1-K404</f>
        <v>#DIV/0!</v>
      </c>
      <c r="M404" s="25" t="s">
        <v>2039</v>
      </c>
      <c r="N404" s="25" t="s">
        <v>2040</v>
      </c>
      <c r="O404" s="26" t="s">
        <v>2041</v>
      </c>
      <c r="P404" s="27" t="s">
        <v>687</v>
      </c>
      <c r="Q404" s="27" t="s">
        <v>450</v>
      </c>
      <c r="R404" s="64" t="s">
        <v>39</v>
      </c>
      <c r="S404" s="29">
        <v>353</v>
      </c>
      <c r="T404" s="1"/>
    </row>
    <row r="405" spans="1:34" x14ac:dyDescent="0.3">
      <c r="A405" s="16">
        <v>401</v>
      </c>
      <c r="B405" s="17" t="s">
        <v>2042</v>
      </c>
      <c r="C405" s="18" t="s">
        <v>2043</v>
      </c>
      <c r="D405" s="19">
        <v>46017</v>
      </c>
      <c r="E405" s="49"/>
      <c r="F405" s="49"/>
      <c r="G405" s="20"/>
      <c r="H405" s="20"/>
      <c r="I405" s="21">
        <v>77.884399999999999</v>
      </c>
      <c r="J405" s="22">
        <f>ROUND(I405*H405,2)</f>
        <v>0</v>
      </c>
      <c r="K405" s="23" t="e">
        <f>ROUND(G405/J405,4)</f>
        <v>#DIV/0!</v>
      </c>
      <c r="L405" s="24" t="e">
        <f>1-K405</f>
        <v>#DIV/0!</v>
      </c>
      <c r="M405" s="25" t="s">
        <v>2044</v>
      </c>
      <c r="N405" s="25" t="s">
        <v>2045</v>
      </c>
      <c r="O405" s="26" t="s">
        <v>2046</v>
      </c>
      <c r="P405" s="27" t="s">
        <v>45</v>
      </c>
      <c r="Q405" s="27" t="s">
        <v>25</v>
      </c>
      <c r="R405" s="21" t="s">
        <v>39</v>
      </c>
      <c r="S405" s="29">
        <v>354</v>
      </c>
      <c r="T405" s="1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 spans="1:34" x14ac:dyDescent="0.3">
      <c r="A406" s="16">
        <v>402</v>
      </c>
      <c r="B406" s="17" t="s">
        <v>2047</v>
      </c>
      <c r="C406" s="34" t="s">
        <v>2048</v>
      </c>
      <c r="D406" s="19">
        <v>46017</v>
      </c>
      <c r="E406" s="49"/>
      <c r="F406" s="49"/>
      <c r="G406" s="20"/>
      <c r="H406" s="20"/>
      <c r="I406" s="21">
        <v>77.884399999999999</v>
      </c>
      <c r="J406" s="22">
        <f>ROUND(I406*H406,2)</f>
        <v>0</v>
      </c>
      <c r="K406" s="23" t="e">
        <f>ROUND(G406/J406,4)</f>
        <v>#DIV/0!</v>
      </c>
      <c r="L406" s="24" t="e">
        <f>1-K406</f>
        <v>#DIV/0!</v>
      </c>
      <c r="M406" s="25" t="s">
        <v>2049</v>
      </c>
      <c r="N406" s="25" t="s">
        <v>2050</v>
      </c>
      <c r="O406" s="26" t="s">
        <v>2051</v>
      </c>
      <c r="P406" s="27" t="s">
        <v>580</v>
      </c>
      <c r="Q406" s="27" t="s">
        <v>25</v>
      </c>
      <c r="R406" s="21" t="s">
        <v>26</v>
      </c>
      <c r="S406" s="29">
        <v>355</v>
      </c>
      <c r="T406" s="1"/>
    </row>
    <row r="407" spans="1:34" x14ac:dyDescent="0.3">
      <c r="A407" s="16">
        <v>403</v>
      </c>
      <c r="B407" s="17" t="s">
        <v>2052</v>
      </c>
      <c r="C407" s="18" t="s">
        <v>2053</v>
      </c>
      <c r="D407" s="19">
        <v>46017</v>
      </c>
      <c r="E407" s="49"/>
      <c r="F407" s="49"/>
      <c r="G407" s="20"/>
      <c r="H407" s="20"/>
      <c r="I407" s="21">
        <v>77.884399999999999</v>
      </c>
      <c r="J407" s="22">
        <f>ROUND(I407*H407,2)</f>
        <v>0</v>
      </c>
      <c r="K407" s="23" t="e">
        <f>ROUND(G407/J407,4)</f>
        <v>#DIV/0!</v>
      </c>
      <c r="L407" s="24" t="e">
        <f>1-K407</f>
        <v>#DIV/0!</v>
      </c>
      <c r="M407" s="25" t="s">
        <v>2054</v>
      </c>
      <c r="N407" s="25" t="s">
        <v>2055</v>
      </c>
      <c r="O407" s="26" t="s">
        <v>2056</v>
      </c>
      <c r="P407" s="27" t="s">
        <v>628</v>
      </c>
      <c r="Q407" s="27" t="s">
        <v>25</v>
      </c>
      <c r="R407" s="21" t="s">
        <v>26</v>
      </c>
      <c r="S407" s="29">
        <v>356</v>
      </c>
      <c r="T407" s="1"/>
    </row>
    <row r="408" spans="1:34" x14ac:dyDescent="0.3">
      <c r="A408" s="16">
        <v>404</v>
      </c>
      <c r="B408" s="17" t="s">
        <v>2057</v>
      </c>
      <c r="C408" s="18" t="s">
        <v>2058</v>
      </c>
      <c r="D408" s="19">
        <v>46017</v>
      </c>
      <c r="E408" s="49"/>
      <c r="F408" s="49"/>
      <c r="G408" s="20"/>
      <c r="H408" s="20"/>
      <c r="I408" s="21">
        <v>77.884399999999999</v>
      </c>
      <c r="J408" s="22">
        <f>ROUND(I408*H408,2)</f>
        <v>0</v>
      </c>
      <c r="K408" s="23" t="e">
        <f>ROUND(G408/J408,4)</f>
        <v>#DIV/0!</v>
      </c>
      <c r="L408" s="24" t="e">
        <f>1-K408</f>
        <v>#DIV/0!</v>
      </c>
      <c r="M408" s="25" t="s">
        <v>2059</v>
      </c>
      <c r="N408" s="25" t="s">
        <v>2060</v>
      </c>
      <c r="O408" s="26" t="s">
        <v>2061</v>
      </c>
      <c r="P408" s="27" t="s">
        <v>189</v>
      </c>
      <c r="Q408" s="27" t="s">
        <v>25</v>
      </c>
      <c r="R408" s="21" t="s">
        <v>26</v>
      </c>
      <c r="S408" s="29">
        <v>357</v>
      </c>
      <c r="T408" s="1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 spans="1:34" x14ac:dyDescent="0.3">
      <c r="A409" s="31">
        <v>405</v>
      </c>
      <c r="B409" s="32" t="s">
        <v>2062</v>
      </c>
      <c r="C409" s="33" t="s">
        <v>2063</v>
      </c>
      <c r="D409" s="19">
        <v>46017</v>
      </c>
      <c r="E409" s="49"/>
      <c r="F409" s="49"/>
      <c r="G409" s="20"/>
      <c r="H409" s="20"/>
      <c r="I409" s="21">
        <v>77.884399999999999</v>
      </c>
      <c r="J409" s="22">
        <f>ROUND(I409*H409,2)</f>
        <v>0</v>
      </c>
      <c r="K409" s="23" t="e">
        <f>ROUND(G409/J409,4)</f>
        <v>#DIV/0!</v>
      </c>
      <c r="L409" s="24" t="e">
        <f>1-K409</f>
        <v>#DIV/0!</v>
      </c>
      <c r="M409" s="25" t="s">
        <v>2064</v>
      </c>
      <c r="N409" s="25" t="s">
        <v>2065</v>
      </c>
      <c r="O409" s="26" t="s">
        <v>2066</v>
      </c>
      <c r="P409" s="27" t="s">
        <v>2067</v>
      </c>
      <c r="Q409" s="27" t="s">
        <v>25</v>
      </c>
      <c r="R409" s="21" t="s">
        <v>39</v>
      </c>
      <c r="S409" s="29">
        <v>358</v>
      </c>
      <c r="T409" s="1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 spans="1:34" x14ac:dyDescent="0.3">
      <c r="A410" s="31">
        <v>406</v>
      </c>
      <c r="B410" s="26" t="s">
        <v>2068</v>
      </c>
      <c r="C410" s="27" t="s">
        <v>2069</v>
      </c>
      <c r="D410" s="19">
        <v>46017</v>
      </c>
      <c r="E410" s="49"/>
      <c r="F410" s="49"/>
      <c r="G410" s="20"/>
      <c r="H410" s="20"/>
      <c r="I410" s="21">
        <v>77.884399999999999</v>
      </c>
      <c r="J410" s="22">
        <f>ROUND(I410*H410,2)</f>
        <v>0</v>
      </c>
      <c r="K410" s="23" t="e">
        <f>ROUND(G410/J410,4)</f>
        <v>#DIV/0!</v>
      </c>
      <c r="L410" s="24" t="e">
        <f>1-K410</f>
        <v>#DIV/0!</v>
      </c>
      <c r="M410" s="25"/>
      <c r="N410" s="25"/>
      <c r="O410" s="26" t="s">
        <v>2070</v>
      </c>
      <c r="P410" s="27" t="s">
        <v>2071</v>
      </c>
      <c r="Q410" s="27" t="s">
        <v>25</v>
      </c>
      <c r="R410" s="64" t="s">
        <v>26</v>
      </c>
      <c r="S410" s="29"/>
      <c r="T410" s="1"/>
    </row>
    <row r="411" spans="1:34" x14ac:dyDescent="0.3">
      <c r="A411" s="16">
        <v>407</v>
      </c>
      <c r="B411" s="17" t="s">
        <v>2072</v>
      </c>
      <c r="C411" s="18" t="s">
        <v>2073</v>
      </c>
      <c r="D411" s="19">
        <v>46017</v>
      </c>
      <c r="E411" s="49"/>
      <c r="F411" s="49"/>
      <c r="G411" s="20"/>
      <c r="H411" s="20"/>
      <c r="I411" s="21">
        <v>77.884399999999999</v>
      </c>
      <c r="J411" s="22">
        <f>ROUND(I411*H411,2)</f>
        <v>0</v>
      </c>
      <c r="K411" s="23" t="e">
        <f>ROUND(G411/J411,4)</f>
        <v>#DIV/0!</v>
      </c>
      <c r="L411" s="24" t="e">
        <f>1-K411</f>
        <v>#DIV/0!</v>
      </c>
      <c r="M411" s="25" t="s">
        <v>2074</v>
      </c>
      <c r="N411" s="25" t="s">
        <v>2075</v>
      </c>
      <c r="O411" s="26" t="s">
        <v>2076</v>
      </c>
      <c r="P411" s="27" t="s">
        <v>319</v>
      </c>
      <c r="Q411" s="27" t="s">
        <v>25</v>
      </c>
      <c r="R411" s="21" t="s">
        <v>26</v>
      </c>
      <c r="S411" s="29">
        <v>359</v>
      </c>
      <c r="T411" s="1"/>
    </row>
    <row r="412" spans="1:34" x14ac:dyDescent="0.3">
      <c r="A412" s="16">
        <v>408</v>
      </c>
      <c r="B412" s="17" t="s">
        <v>2077</v>
      </c>
      <c r="C412" s="18" t="s">
        <v>2078</v>
      </c>
      <c r="D412" s="19">
        <v>46017</v>
      </c>
      <c r="E412" s="49"/>
      <c r="F412" s="49"/>
      <c r="G412" s="20"/>
      <c r="H412" s="20"/>
      <c r="I412" s="21">
        <v>77.884399999999999</v>
      </c>
      <c r="J412" s="22">
        <f>ROUND(I412*H412,2)</f>
        <v>0</v>
      </c>
      <c r="K412" s="23" t="e">
        <f>ROUND(G412/J412,4)</f>
        <v>#DIV/0!</v>
      </c>
      <c r="L412" s="24" t="e">
        <f>1-K412</f>
        <v>#DIV/0!</v>
      </c>
      <c r="M412" s="25" t="s">
        <v>2079</v>
      </c>
      <c r="N412" s="25" t="s">
        <v>2080</v>
      </c>
      <c r="O412" s="26" t="s">
        <v>2081</v>
      </c>
      <c r="P412" s="27" t="s">
        <v>319</v>
      </c>
      <c r="Q412" s="27" t="s">
        <v>25</v>
      </c>
      <c r="R412" s="21" t="s">
        <v>26</v>
      </c>
      <c r="S412" s="29">
        <v>360</v>
      </c>
      <c r="T412" s="1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 spans="1:34" x14ac:dyDescent="0.3">
      <c r="A413" s="16">
        <v>409</v>
      </c>
      <c r="B413" s="17" t="s">
        <v>2082</v>
      </c>
      <c r="C413" s="18" t="s">
        <v>2083</v>
      </c>
      <c r="D413" s="19">
        <v>46017</v>
      </c>
      <c r="E413" s="49"/>
      <c r="F413" s="49"/>
      <c r="G413" s="20"/>
      <c r="H413" s="20"/>
      <c r="I413" s="21">
        <v>77.884399999999999</v>
      </c>
      <c r="J413" s="22">
        <f>ROUND(I413*H413,2)</f>
        <v>0</v>
      </c>
      <c r="K413" s="23" t="e">
        <f>ROUND(G413/J413,4)</f>
        <v>#DIV/0!</v>
      </c>
      <c r="L413" s="24" t="e">
        <f>1-K413</f>
        <v>#DIV/0!</v>
      </c>
      <c r="M413" s="25" t="s">
        <v>2084</v>
      </c>
      <c r="N413" s="25" t="s">
        <v>2085</v>
      </c>
      <c r="O413" s="26" t="s">
        <v>2086</v>
      </c>
      <c r="P413" s="27" t="s">
        <v>250</v>
      </c>
      <c r="Q413" s="27" t="s">
        <v>25</v>
      </c>
      <c r="R413" s="21" t="s">
        <v>39</v>
      </c>
      <c r="S413" s="29">
        <v>361</v>
      </c>
      <c r="T413" s="1"/>
    </row>
    <row r="414" spans="1:34" x14ac:dyDescent="0.3">
      <c r="A414" s="16">
        <v>410</v>
      </c>
      <c r="B414" s="17" t="s">
        <v>2087</v>
      </c>
      <c r="C414" s="18" t="s">
        <v>2088</v>
      </c>
      <c r="D414" s="19">
        <v>46017</v>
      </c>
      <c r="E414" s="49"/>
      <c r="F414" s="49"/>
      <c r="G414" s="20"/>
      <c r="H414" s="20"/>
      <c r="I414" s="21">
        <v>77.884399999999999</v>
      </c>
      <c r="J414" s="22">
        <f>ROUND(I414*H414,2)</f>
        <v>0</v>
      </c>
      <c r="K414" s="23" t="e">
        <f>ROUND(G414/J414,4)</f>
        <v>#DIV/0!</v>
      </c>
      <c r="L414" s="24" t="e">
        <f>1-K414</f>
        <v>#DIV/0!</v>
      </c>
      <c r="M414" s="25" t="s">
        <v>2089</v>
      </c>
      <c r="N414" s="25" t="s">
        <v>2090</v>
      </c>
      <c r="O414" s="26" t="s">
        <v>2091</v>
      </c>
      <c r="P414" s="27" t="s">
        <v>189</v>
      </c>
      <c r="Q414" s="27" t="s">
        <v>25</v>
      </c>
      <c r="R414" s="21" t="s">
        <v>26</v>
      </c>
      <c r="S414" s="29">
        <v>362</v>
      </c>
      <c r="T414" s="1"/>
    </row>
    <row r="415" spans="1:34" x14ac:dyDescent="0.3">
      <c r="A415" s="31">
        <v>411</v>
      </c>
      <c r="B415" s="32" t="s">
        <v>2092</v>
      </c>
      <c r="C415" s="33" t="s">
        <v>2093</v>
      </c>
      <c r="D415" s="19">
        <v>46017</v>
      </c>
      <c r="E415" s="49"/>
      <c r="F415" s="49"/>
      <c r="G415" s="20"/>
      <c r="H415" s="20"/>
      <c r="I415" s="21">
        <v>77.884399999999999</v>
      </c>
      <c r="J415" s="22">
        <f>ROUND(I415*H415,2)</f>
        <v>0</v>
      </c>
      <c r="K415" s="23" t="e">
        <f>ROUND(G415/J415,4)</f>
        <v>#DIV/0!</v>
      </c>
      <c r="L415" s="24" t="e">
        <f>1-K415</f>
        <v>#DIV/0!</v>
      </c>
      <c r="M415" s="25" t="s">
        <v>2094</v>
      </c>
      <c r="N415" s="25" t="s">
        <v>2095</v>
      </c>
      <c r="O415" s="26" t="s">
        <v>2096</v>
      </c>
      <c r="P415" s="27" t="s">
        <v>140</v>
      </c>
      <c r="Q415" s="27" t="s">
        <v>25</v>
      </c>
      <c r="R415" s="21" t="s">
        <v>26</v>
      </c>
      <c r="S415" s="29">
        <v>363</v>
      </c>
      <c r="T415" s="1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 spans="1:34" x14ac:dyDescent="0.3">
      <c r="A416" s="16">
        <v>412</v>
      </c>
      <c r="B416" s="17" t="s">
        <v>2097</v>
      </c>
      <c r="C416" s="18" t="s">
        <v>2098</v>
      </c>
      <c r="D416" s="19">
        <v>46017</v>
      </c>
      <c r="E416" s="49"/>
      <c r="F416" s="49"/>
      <c r="G416" s="20"/>
      <c r="H416" s="20"/>
      <c r="I416" s="21">
        <v>77.884399999999999</v>
      </c>
      <c r="J416" s="22">
        <f>ROUND(I416*H416,2)</f>
        <v>0</v>
      </c>
      <c r="K416" s="23" t="e">
        <f>ROUND(G416/J416,4)</f>
        <v>#DIV/0!</v>
      </c>
      <c r="L416" s="24" t="e">
        <f>1-K416</f>
        <v>#DIV/0!</v>
      </c>
      <c r="M416" s="25" t="s">
        <v>2099</v>
      </c>
      <c r="N416" s="25" t="s">
        <v>2100</v>
      </c>
      <c r="O416" s="26" t="s">
        <v>2101</v>
      </c>
      <c r="P416" s="27" t="s">
        <v>123</v>
      </c>
      <c r="Q416" s="27" t="s">
        <v>25</v>
      </c>
      <c r="R416" s="21" t="s">
        <v>39</v>
      </c>
      <c r="S416" s="29">
        <v>364</v>
      </c>
      <c r="T416" s="1"/>
    </row>
    <row r="417" spans="1:34" x14ac:dyDescent="0.3">
      <c r="A417" s="16">
        <v>413</v>
      </c>
      <c r="B417" s="17" t="s">
        <v>2102</v>
      </c>
      <c r="C417" s="18" t="s">
        <v>2103</v>
      </c>
      <c r="D417" s="19">
        <v>46017</v>
      </c>
      <c r="E417" s="49"/>
      <c r="F417" s="49"/>
      <c r="G417" s="20"/>
      <c r="H417" s="20"/>
      <c r="I417" s="21">
        <v>77.884399999999999</v>
      </c>
      <c r="J417" s="22">
        <f>ROUND(I417*H417,2)</f>
        <v>0</v>
      </c>
      <c r="K417" s="23" t="e">
        <f>ROUND(G417/J417,4)</f>
        <v>#DIV/0!</v>
      </c>
      <c r="L417" s="24" t="e">
        <f>1-K417</f>
        <v>#DIV/0!</v>
      </c>
      <c r="M417" s="25" t="s">
        <v>2104</v>
      </c>
      <c r="N417" s="25" t="s">
        <v>2105</v>
      </c>
      <c r="O417" s="26" t="s">
        <v>2106</v>
      </c>
      <c r="P417" s="27" t="s">
        <v>2107</v>
      </c>
      <c r="Q417" s="27" t="s">
        <v>25</v>
      </c>
      <c r="R417" s="21" t="s">
        <v>39</v>
      </c>
      <c r="S417" s="29">
        <v>365</v>
      </c>
      <c r="T417" s="1"/>
    </row>
    <row r="418" spans="1:34" x14ac:dyDescent="0.3">
      <c r="A418" s="16">
        <v>414</v>
      </c>
      <c r="B418" s="17" t="s">
        <v>2108</v>
      </c>
      <c r="C418" s="18" t="s">
        <v>2109</v>
      </c>
      <c r="D418" s="19">
        <v>46017</v>
      </c>
      <c r="E418" s="49"/>
      <c r="F418" s="49"/>
      <c r="G418" s="20"/>
      <c r="H418" s="20"/>
      <c r="I418" s="21">
        <v>77.884399999999999</v>
      </c>
      <c r="J418" s="22">
        <f>ROUND(I418*H418,2)</f>
        <v>0</v>
      </c>
      <c r="K418" s="23" t="e">
        <f>ROUND(G418/J418,4)</f>
        <v>#DIV/0!</v>
      </c>
      <c r="L418" s="24" t="e">
        <f>1-K418</f>
        <v>#DIV/0!</v>
      </c>
      <c r="M418" s="25" t="s">
        <v>2110</v>
      </c>
      <c r="N418" s="25" t="s">
        <v>2111</v>
      </c>
      <c r="O418" s="26" t="s">
        <v>2112</v>
      </c>
      <c r="P418" s="27" t="s">
        <v>38</v>
      </c>
      <c r="Q418" s="27" t="s">
        <v>25</v>
      </c>
      <c r="R418" s="21" t="s">
        <v>39</v>
      </c>
      <c r="S418" s="29">
        <v>366</v>
      </c>
      <c r="T418" s="1"/>
    </row>
    <row r="419" spans="1:34" x14ac:dyDescent="0.3">
      <c r="A419" s="31">
        <v>415</v>
      </c>
      <c r="B419" s="32" t="s">
        <v>2113</v>
      </c>
      <c r="C419" s="33" t="s">
        <v>2114</v>
      </c>
      <c r="D419" s="19">
        <v>46017</v>
      </c>
      <c r="E419" s="49"/>
      <c r="F419" s="49"/>
      <c r="G419" s="20"/>
      <c r="H419" s="20"/>
      <c r="I419" s="21">
        <v>77.884399999999999</v>
      </c>
      <c r="J419" s="22">
        <f>ROUND(I419*H419,2)</f>
        <v>0</v>
      </c>
      <c r="K419" s="23" t="e">
        <f>ROUND(G419/J419,4)</f>
        <v>#DIV/0!</v>
      </c>
      <c r="L419" s="24" t="e">
        <f>1-K419</f>
        <v>#DIV/0!</v>
      </c>
      <c r="M419" s="25" t="s">
        <v>2115</v>
      </c>
      <c r="N419" s="25" t="s">
        <v>2116</v>
      </c>
      <c r="O419" s="26" t="s">
        <v>2117</v>
      </c>
      <c r="P419" s="27" t="s">
        <v>2118</v>
      </c>
      <c r="Q419" s="27" t="s">
        <v>25</v>
      </c>
      <c r="R419" s="21" t="s">
        <v>39</v>
      </c>
      <c r="S419" s="29">
        <v>367</v>
      </c>
      <c r="T419" s="1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 spans="1:34" x14ac:dyDescent="0.3">
      <c r="A420" s="16">
        <v>416</v>
      </c>
      <c r="B420" s="17" t="s">
        <v>2119</v>
      </c>
      <c r="C420" s="18" t="s">
        <v>2120</v>
      </c>
      <c r="D420" s="19">
        <v>46017</v>
      </c>
      <c r="E420" s="49"/>
      <c r="F420" s="49"/>
      <c r="G420" s="20"/>
      <c r="H420" s="20"/>
      <c r="I420" s="21">
        <v>77.884399999999999</v>
      </c>
      <c r="J420" s="22">
        <f>ROUND(I420*H420,2)</f>
        <v>0</v>
      </c>
      <c r="K420" s="23" t="e">
        <f>ROUND(G420/J420,4)</f>
        <v>#DIV/0!</v>
      </c>
      <c r="L420" s="24" t="e">
        <f>1-K420</f>
        <v>#DIV/0!</v>
      </c>
      <c r="M420" s="25" t="s">
        <v>2121</v>
      </c>
      <c r="N420" s="25" t="s">
        <v>2122</v>
      </c>
      <c r="O420" s="26" t="s">
        <v>2123</v>
      </c>
      <c r="P420" s="27" t="s">
        <v>32</v>
      </c>
      <c r="Q420" s="27" t="s">
        <v>25</v>
      </c>
      <c r="R420" s="64" t="s">
        <v>39</v>
      </c>
      <c r="S420" s="29">
        <v>368</v>
      </c>
      <c r="T420" s="1"/>
    </row>
    <row r="421" spans="1:34" x14ac:dyDescent="0.3">
      <c r="A421" s="16">
        <v>417</v>
      </c>
      <c r="B421" s="17" t="s">
        <v>2124</v>
      </c>
      <c r="C421" s="18" t="s">
        <v>2125</v>
      </c>
      <c r="D421" s="19">
        <v>46017</v>
      </c>
      <c r="E421" s="49"/>
      <c r="F421" s="49"/>
      <c r="G421" s="20"/>
      <c r="H421" s="20"/>
      <c r="I421" s="21">
        <v>77.884399999999999</v>
      </c>
      <c r="J421" s="22">
        <f>ROUND(I421*H421,2)</f>
        <v>0</v>
      </c>
      <c r="K421" s="23" t="e">
        <f>ROUND(G421/J421,4)</f>
        <v>#DIV/0!</v>
      </c>
      <c r="L421" s="24" t="e">
        <f>1-K421</f>
        <v>#DIV/0!</v>
      </c>
      <c r="M421" s="25" t="s">
        <v>2126</v>
      </c>
      <c r="N421" s="25" t="s">
        <v>2127</v>
      </c>
      <c r="O421" s="26" t="s">
        <v>2128</v>
      </c>
      <c r="P421" s="27" t="s">
        <v>1519</v>
      </c>
      <c r="Q421" s="27" t="s">
        <v>25</v>
      </c>
      <c r="R421" s="64" t="s">
        <v>39</v>
      </c>
      <c r="S421" s="29">
        <v>369</v>
      </c>
      <c r="T421" s="1"/>
    </row>
    <row r="422" spans="1:34" x14ac:dyDescent="0.3">
      <c r="A422" s="16">
        <v>418</v>
      </c>
      <c r="B422" s="17" t="s">
        <v>2129</v>
      </c>
      <c r="C422" s="18" t="s">
        <v>2130</v>
      </c>
      <c r="D422" s="19">
        <v>46017</v>
      </c>
      <c r="E422" s="49"/>
      <c r="F422" s="49"/>
      <c r="G422" s="20"/>
      <c r="H422" s="20"/>
      <c r="I422" s="21">
        <v>77.884399999999999</v>
      </c>
      <c r="J422" s="22">
        <f>ROUND(I422*H422,2)</f>
        <v>0</v>
      </c>
      <c r="K422" s="23" t="e">
        <f>ROUND(G422/J422,4)</f>
        <v>#DIV/0!</v>
      </c>
      <c r="L422" s="24" t="e">
        <f>1-K422</f>
        <v>#DIV/0!</v>
      </c>
      <c r="M422" s="25" t="s">
        <v>2131</v>
      </c>
      <c r="N422" s="25" t="s">
        <v>2132</v>
      </c>
      <c r="O422" s="26" t="s">
        <v>2133</v>
      </c>
      <c r="P422" s="27" t="s">
        <v>351</v>
      </c>
      <c r="Q422" s="27" t="s">
        <v>25</v>
      </c>
      <c r="R422" s="21" t="s">
        <v>26</v>
      </c>
      <c r="S422" s="29">
        <v>370</v>
      </c>
      <c r="T422" s="1"/>
    </row>
    <row r="423" spans="1:34" x14ac:dyDescent="0.3">
      <c r="A423" s="31">
        <v>419</v>
      </c>
      <c r="B423" s="32" t="s">
        <v>2134</v>
      </c>
      <c r="C423" s="33" t="s">
        <v>2135</v>
      </c>
      <c r="D423" s="19">
        <v>46017</v>
      </c>
      <c r="E423" s="49"/>
      <c r="F423" s="49"/>
      <c r="G423" s="20"/>
      <c r="H423" s="20"/>
      <c r="I423" s="21">
        <v>77.884399999999999</v>
      </c>
      <c r="J423" s="22">
        <f>ROUND(I423*H423,2)</f>
        <v>0</v>
      </c>
      <c r="K423" s="23" t="e">
        <f>ROUND(G423/J423,4)</f>
        <v>#DIV/0!</v>
      </c>
      <c r="L423" s="24" t="e">
        <f>1-K423</f>
        <v>#DIV/0!</v>
      </c>
      <c r="M423" s="25" t="s">
        <v>2136</v>
      </c>
      <c r="N423" s="25" t="s">
        <v>2137</v>
      </c>
      <c r="O423" s="26" t="s">
        <v>2138</v>
      </c>
      <c r="P423" s="27" t="s">
        <v>345</v>
      </c>
      <c r="Q423" s="27" t="s">
        <v>25</v>
      </c>
      <c r="R423" s="21" t="s">
        <v>39</v>
      </c>
      <c r="S423" s="29">
        <v>371</v>
      </c>
      <c r="T423" s="1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 spans="1:34" x14ac:dyDescent="0.3">
      <c r="A424" s="16">
        <v>420</v>
      </c>
      <c r="B424" s="17" t="s">
        <v>2139</v>
      </c>
      <c r="C424" s="18" t="s">
        <v>2140</v>
      </c>
      <c r="D424" s="19">
        <v>46017</v>
      </c>
      <c r="E424" s="49"/>
      <c r="F424" s="49"/>
      <c r="G424" s="20"/>
      <c r="H424" s="20"/>
      <c r="I424" s="21">
        <v>77.884399999999999</v>
      </c>
      <c r="J424" s="22">
        <f>ROUND(I424*H424,2)</f>
        <v>0</v>
      </c>
      <c r="K424" s="23" t="e">
        <f>ROUND(G424/J424,4)</f>
        <v>#DIV/0!</v>
      </c>
      <c r="L424" s="24" t="e">
        <f>1-K424</f>
        <v>#DIV/0!</v>
      </c>
      <c r="M424" s="25" t="s">
        <v>2141</v>
      </c>
      <c r="N424" s="25" t="s">
        <v>2142</v>
      </c>
      <c r="O424" s="26" t="s">
        <v>2143</v>
      </c>
      <c r="P424" s="27" t="s">
        <v>622</v>
      </c>
      <c r="Q424" s="27" t="s">
        <v>25</v>
      </c>
      <c r="R424" s="64" t="s">
        <v>39</v>
      </c>
      <c r="S424" s="29">
        <v>372</v>
      </c>
      <c r="T424" s="1"/>
    </row>
    <row r="425" spans="1:34" x14ac:dyDescent="0.3">
      <c r="A425" s="31">
        <v>421</v>
      </c>
      <c r="B425" s="26" t="s">
        <v>2144</v>
      </c>
      <c r="C425" s="27" t="s">
        <v>2145</v>
      </c>
      <c r="D425" s="19">
        <v>46017</v>
      </c>
      <c r="E425" s="49"/>
      <c r="F425" s="49"/>
      <c r="G425" s="20"/>
      <c r="H425" s="20"/>
      <c r="I425" s="21">
        <v>77.884399999999999</v>
      </c>
      <c r="J425" s="22">
        <f>ROUND(I425*H425,2)</f>
        <v>0</v>
      </c>
      <c r="K425" s="23" t="e">
        <f>ROUND(G425/J425,4)</f>
        <v>#DIV/0!</v>
      </c>
      <c r="L425" s="24" t="e">
        <f>1-K425</f>
        <v>#DIV/0!</v>
      </c>
      <c r="M425" s="25"/>
      <c r="N425" s="25"/>
      <c r="O425" s="26" t="s">
        <v>2146</v>
      </c>
      <c r="P425" s="27" t="s">
        <v>892</v>
      </c>
      <c r="Q425" s="27" t="s">
        <v>25</v>
      </c>
      <c r="R425" s="21" t="s">
        <v>39</v>
      </c>
      <c r="S425" s="29"/>
      <c r="T425" s="1"/>
    </row>
    <row r="426" spans="1:34" x14ac:dyDescent="0.3">
      <c r="A426" s="31">
        <v>422</v>
      </c>
      <c r="B426" s="26" t="s">
        <v>2147</v>
      </c>
      <c r="C426" s="27" t="s">
        <v>2148</v>
      </c>
      <c r="D426" s="19">
        <v>46017</v>
      </c>
      <c r="E426" s="49"/>
      <c r="F426" s="49"/>
      <c r="G426" s="20"/>
      <c r="H426" s="20"/>
      <c r="I426" s="21">
        <v>77.884399999999999</v>
      </c>
      <c r="J426" s="22">
        <f>ROUND(I426*H426,2)</f>
        <v>0</v>
      </c>
      <c r="K426" s="23" t="e">
        <f>ROUND(G426/J426,4)</f>
        <v>#DIV/0!</v>
      </c>
      <c r="L426" s="24" t="e">
        <f>1-K426</f>
        <v>#DIV/0!</v>
      </c>
      <c r="M426" s="25"/>
      <c r="N426" s="25"/>
      <c r="O426" s="26" t="s">
        <v>2149</v>
      </c>
      <c r="P426" s="27" t="s">
        <v>2150</v>
      </c>
      <c r="Q426" s="27" t="s">
        <v>25</v>
      </c>
      <c r="R426" s="21" t="s">
        <v>26</v>
      </c>
      <c r="S426" s="29"/>
      <c r="T426" s="1"/>
    </row>
    <row r="427" spans="1:34" x14ac:dyDescent="0.3">
      <c r="A427" s="31">
        <v>423</v>
      </c>
      <c r="B427" s="32" t="s">
        <v>2151</v>
      </c>
      <c r="C427" s="33" t="s">
        <v>2152</v>
      </c>
      <c r="D427" s="19">
        <v>46017</v>
      </c>
      <c r="E427" s="49"/>
      <c r="F427" s="49"/>
      <c r="G427" s="20"/>
      <c r="H427" s="20"/>
      <c r="I427" s="21">
        <v>77.884399999999999</v>
      </c>
      <c r="J427" s="22">
        <f>ROUND(I427*H427,2)</f>
        <v>0</v>
      </c>
      <c r="K427" s="23" t="e">
        <f>ROUND(G427/J427,4)</f>
        <v>#DIV/0!</v>
      </c>
      <c r="L427" s="24" t="e">
        <f>1-K427</f>
        <v>#DIV/0!</v>
      </c>
      <c r="M427" s="25" t="s">
        <v>2153</v>
      </c>
      <c r="N427" s="25" t="s">
        <v>2154</v>
      </c>
      <c r="O427" s="26" t="s">
        <v>2155</v>
      </c>
      <c r="P427" s="27" t="s">
        <v>57</v>
      </c>
      <c r="Q427" s="27" t="s">
        <v>25</v>
      </c>
      <c r="R427" s="21" t="s">
        <v>26</v>
      </c>
      <c r="S427" s="29">
        <v>373</v>
      </c>
      <c r="T427" s="1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 spans="1:34" x14ac:dyDescent="0.3">
      <c r="A428" s="31">
        <v>424</v>
      </c>
      <c r="B428" s="26" t="s">
        <v>2156</v>
      </c>
      <c r="C428" s="27" t="s">
        <v>2157</v>
      </c>
      <c r="D428" s="19">
        <v>46017</v>
      </c>
      <c r="E428" s="49"/>
      <c r="F428" s="49"/>
      <c r="G428" s="20"/>
      <c r="H428" s="20"/>
      <c r="I428" s="21">
        <v>77.884399999999999</v>
      </c>
      <c r="J428" s="22">
        <f>ROUND(I428*H428,2)</f>
        <v>0</v>
      </c>
      <c r="K428" s="23" t="e">
        <f>ROUND(G428/J428,4)</f>
        <v>#DIV/0!</v>
      </c>
      <c r="L428" s="24" t="e">
        <f>1-K428</f>
        <v>#DIV/0!</v>
      </c>
      <c r="M428" s="25"/>
      <c r="N428" s="25"/>
      <c r="O428" s="26" t="s">
        <v>2158</v>
      </c>
      <c r="P428" s="27" t="s">
        <v>32</v>
      </c>
      <c r="Q428" s="27" t="s">
        <v>25</v>
      </c>
      <c r="R428" s="64" t="s">
        <v>39</v>
      </c>
      <c r="S428" s="29"/>
      <c r="T428" s="1"/>
    </row>
    <row r="429" spans="1:34" x14ac:dyDescent="0.3">
      <c r="A429" s="16">
        <v>425</v>
      </c>
      <c r="B429" s="17" t="s">
        <v>2159</v>
      </c>
      <c r="C429" s="18" t="s">
        <v>2160</v>
      </c>
      <c r="D429" s="19">
        <v>46017</v>
      </c>
      <c r="E429" s="49"/>
      <c r="F429" s="49"/>
      <c r="G429" s="20"/>
      <c r="H429" s="20"/>
      <c r="I429" s="21">
        <v>77.884399999999999</v>
      </c>
      <c r="J429" s="22">
        <f>ROUND(I429*H429,2)</f>
        <v>0</v>
      </c>
      <c r="K429" s="23" t="e">
        <f>ROUND(G429/J429,4)</f>
        <v>#DIV/0!</v>
      </c>
      <c r="L429" s="24" t="e">
        <f>1-K429</f>
        <v>#DIV/0!</v>
      </c>
      <c r="M429" s="25" t="s">
        <v>2161</v>
      </c>
      <c r="N429" s="25" t="s">
        <v>2162</v>
      </c>
      <c r="O429" s="26" t="s">
        <v>2163</v>
      </c>
      <c r="P429" s="27" t="s">
        <v>123</v>
      </c>
      <c r="Q429" s="27" t="s">
        <v>25</v>
      </c>
      <c r="R429" s="21" t="s">
        <v>39</v>
      </c>
      <c r="S429" s="29">
        <v>374</v>
      </c>
      <c r="T429" s="1"/>
    </row>
    <row r="430" spans="1:34" x14ac:dyDescent="0.3">
      <c r="A430" s="16">
        <v>426</v>
      </c>
      <c r="B430" s="17" t="s">
        <v>2164</v>
      </c>
      <c r="C430" s="34" t="s">
        <v>2165</v>
      </c>
      <c r="D430" s="19">
        <v>46017</v>
      </c>
      <c r="E430" s="49"/>
      <c r="F430" s="49"/>
      <c r="G430" s="20"/>
      <c r="H430" s="20"/>
      <c r="I430" s="21">
        <v>77.884399999999999</v>
      </c>
      <c r="J430" s="22">
        <f>ROUND(I430*H430,2)</f>
        <v>0</v>
      </c>
      <c r="K430" s="23" t="e">
        <f>ROUND(G430/J430,4)</f>
        <v>#DIV/0!</v>
      </c>
      <c r="L430" s="24" t="e">
        <f>1-K430</f>
        <v>#DIV/0!</v>
      </c>
      <c r="M430" s="25" t="s">
        <v>2166</v>
      </c>
      <c r="N430" s="25" t="s">
        <v>2167</v>
      </c>
      <c r="O430" s="26" t="s">
        <v>2168</v>
      </c>
      <c r="P430" s="27" t="s">
        <v>502</v>
      </c>
      <c r="Q430" s="27" t="s">
        <v>25</v>
      </c>
      <c r="R430" s="21" t="s">
        <v>39</v>
      </c>
      <c r="S430" s="29">
        <v>375</v>
      </c>
      <c r="T430" s="1"/>
    </row>
    <row r="431" spans="1:34" x14ac:dyDescent="0.3">
      <c r="A431" s="16">
        <v>427</v>
      </c>
      <c r="B431" s="17" t="s">
        <v>2169</v>
      </c>
      <c r="C431" s="18" t="s">
        <v>2170</v>
      </c>
      <c r="D431" s="19">
        <v>46017</v>
      </c>
      <c r="E431" s="49"/>
      <c r="F431" s="49"/>
      <c r="G431" s="20"/>
      <c r="H431" s="20"/>
      <c r="I431" s="21">
        <v>77.884399999999999</v>
      </c>
      <c r="J431" s="22">
        <f>ROUND(I431*H431,2)</f>
        <v>0</v>
      </c>
      <c r="K431" s="23" t="e">
        <f>ROUND(G431/J431,4)</f>
        <v>#DIV/0!</v>
      </c>
      <c r="L431" s="24" t="e">
        <f>1-K431</f>
        <v>#DIV/0!</v>
      </c>
      <c r="M431" s="25" t="s">
        <v>2171</v>
      </c>
      <c r="N431" s="25" t="s">
        <v>2172</v>
      </c>
      <c r="O431" s="26" t="s">
        <v>2173</v>
      </c>
      <c r="P431" s="27" t="s">
        <v>123</v>
      </c>
      <c r="Q431" s="27" t="s">
        <v>25</v>
      </c>
      <c r="R431" s="21" t="s">
        <v>39</v>
      </c>
      <c r="S431" s="29">
        <v>376</v>
      </c>
      <c r="T431" s="1"/>
    </row>
    <row r="432" spans="1:34" x14ac:dyDescent="0.3">
      <c r="A432" s="16">
        <v>428</v>
      </c>
      <c r="B432" s="17" t="s">
        <v>2174</v>
      </c>
      <c r="C432" s="18" t="s">
        <v>2175</v>
      </c>
      <c r="D432" s="19">
        <v>46017</v>
      </c>
      <c r="E432" s="49"/>
      <c r="F432" s="49"/>
      <c r="G432" s="20"/>
      <c r="H432" s="20"/>
      <c r="I432" s="21">
        <v>77.884399999999999</v>
      </c>
      <c r="J432" s="22">
        <f>ROUND(I432*H432,2)</f>
        <v>0</v>
      </c>
      <c r="K432" s="23" t="e">
        <f>ROUND(G432/J432,4)</f>
        <v>#DIV/0!</v>
      </c>
      <c r="L432" s="24" t="e">
        <f>1-K432</f>
        <v>#DIV/0!</v>
      </c>
      <c r="M432" s="25" t="s">
        <v>2176</v>
      </c>
      <c r="N432" s="25" t="s">
        <v>2177</v>
      </c>
      <c r="O432" s="26" t="s">
        <v>2178</v>
      </c>
      <c r="P432" s="27" t="s">
        <v>639</v>
      </c>
      <c r="Q432" s="27" t="s">
        <v>25</v>
      </c>
      <c r="R432" s="21" t="s">
        <v>26</v>
      </c>
      <c r="S432" s="29">
        <v>377</v>
      </c>
      <c r="T432" s="1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 spans="1:34" x14ac:dyDescent="0.3">
      <c r="A433" s="16">
        <v>429</v>
      </c>
      <c r="B433" s="17" t="s">
        <v>2179</v>
      </c>
      <c r="C433" s="34" t="s">
        <v>2180</v>
      </c>
      <c r="D433" s="19">
        <v>46017</v>
      </c>
      <c r="E433" s="49"/>
      <c r="F433" s="49"/>
      <c r="G433" s="20"/>
      <c r="H433" s="20"/>
      <c r="I433" s="21">
        <v>77.884399999999999</v>
      </c>
      <c r="J433" s="22">
        <f>ROUND(I433*H433,2)</f>
        <v>0</v>
      </c>
      <c r="K433" s="23" t="e">
        <f>ROUND(G433/J433,4)</f>
        <v>#DIV/0!</v>
      </c>
      <c r="L433" s="24" t="e">
        <f>1-K433</f>
        <v>#DIV/0!</v>
      </c>
      <c r="M433" s="25" t="s">
        <v>2181</v>
      </c>
      <c r="N433" s="25" t="s">
        <v>2182</v>
      </c>
      <c r="O433" s="26" t="s">
        <v>2183</v>
      </c>
      <c r="P433" s="27" t="s">
        <v>319</v>
      </c>
      <c r="Q433" s="27" t="s">
        <v>25</v>
      </c>
      <c r="R433" s="21" t="s">
        <v>39</v>
      </c>
      <c r="S433" s="29">
        <v>378</v>
      </c>
      <c r="T433" s="1"/>
    </row>
    <row r="434" spans="1:34" x14ac:dyDescent="0.3">
      <c r="A434" s="16">
        <v>430</v>
      </c>
      <c r="B434" s="17" t="s">
        <v>2184</v>
      </c>
      <c r="C434" s="34" t="s">
        <v>2185</v>
      </c>
      <c r="D434" s="19">
        <v>46017</v>
      </c>
      <c r="E434" s="49"/>
      <c r="F434" s="49"/>
      <c r="G434" s="20"/>
      <c r="H434" s="20"/>
      <c r="I434" s="21">
        <v>77.884399999999999</v>
      </c>
      <c r="J434" s="22">
        <f>ROUND(I434*H434,2)</f>
        <v>0</v>
      </c>
      <c r="K434" s="23" t="e">
        <f>ROUND(G434/J434,4)</f>
        <v>#DIV/0!</v>
      </c>
      <c r="L434" s="24" t="e">
        <f>1-K434</f>
        <v>#DIV/0!</v>
      </c>
      <c r="M434" s="25" t="s">
        <v>2186</v>
      </c>
      <c r="N434" s="25" t="s">
        <v>2187</v>
      </c>
      <c r="O434" s="26" t="s">
        <v>2188</v>
      </c>
      <c r="P434" s="27" t="s">
        <v>903</v>
      </c>
      <c r="Q434" s="27" t="s">
        <v>25</v>
      </c>
      <c r="R434" s="21" t="s">
        <v>26</v>
      </c>
      <c r="S434" s="29">
        <v>379</v>
      </c>
      <c r="T434" s="1"/>
    </row>
    <row r="435" spans="1:34" x14ac:dyDescent="0.3">
      <c r="A435" s="31">
        <v>431</v>
      </c>
      <c r="B435" s="26" t="s">
        <v>2189</v>
      </c>
      <c r="C435" s="27" t="s">
        <v>2190</v>
      </c>
      <c r="D435" s="19">
        <v>46017</v>
      </c>
      <c r="E435" s="49"/>
      <c r="F435" s="49"/>
      <c r="G435" s="20"/>
      <c r="H435" s="20"/>
      <c r="I435" s="21">
        <v>77.884399999999999</v>
      </c>
      <c r="J435" s="22">
        <f>ROUND(I435*H435,2)</f>
        <v>0</v>
      </c>
      <c r="K435" s="23" t="e">
        <f>ROUND(G435/J435,4)</f>
        <v>#DIV/0!</v>
      </c>
      <c r="L435" s="24" t="e">
        <f>1-K435</f>
        <v>#DIV/0!</v>
      </c>
      <c r="M435" s="25"/>
      <c r="N435" s="25"/>
      <c r="O435" s="26" t="s">
        <v>2191</v>
      </c>
      <c r="P435" s="27" t="s">
        <v>2192</v>
      </c>
      <c r="Q435" s="27" t="s">
        <v>25</v>
      </c>
      <c r="R435" s="21" t="s">
        <v>39</v>
      </c>
      <c r="S435" s="29"/>
      <c r="T435" s="1"/>
    </row>
    <row r="436" spans="1:34" x14ac:dyDescent="0.3">
      <c r="A436" s="31">
        <v>432</v>
      </c>
      <c r="B436" s="32" t="s">
        <v>2193</v>
      </c>
      <c r="C436" s="33" t="s">
        <v>2194</v>
      </c>
      <c r="D436" s="19">
        <v>46017</v>
      </c>
      <c r="E436" s="49"/>
      <c r="F436" s="49"/>
      <c r="G436" s="20"/>
      <c r="H436" s="20"/>
      <c r="I436" s="21">
        <v>77.884399999999999</v>
      </c>
      <c r="J436" s="22">
        <f>ROUND(I436*H436,2)</f>
        <v>0</v>
      </c>
      <c r="K436" s="23" t="e">
        <f>ROUND(G436/J436,4)</f>
        <v>#DIV/0!</v>
      </c>
      <c r="L436" s="24" t="e">
        <f>1-K436</f>
        <v>#DIV/0!</v>
      </c>
      <c r="M436" s="25" t="s">
        <v>2195</v>
      </c>
      <c r="N436" s="25" t="s">
        <v>2196</v>
      </c>
      <c r="O436" s="26" t="s">
        <v>2197</v>
      </c>
      <c r="P436" s="27" t="s">
        <v>107</v>
      </c>
      <c r="Q436" s="27" t="s">
        <v>25</v>
      </c>
      <c r="R436" s="21" t="s">
        <v>39</v>
      </c>
      <c r="S436" s="29">
        <v>380</v>
      </c>
      <c r="T436" s="1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 spans="1:34" x14ac:dyDescent="0.3">
      <c r="A437" s="31">
        <v>433</v>
      </c>
      <c r="B437" s="32" t="s">
        <v>2198</v>
      </c>
      <c r="C437" s="33" t="s">
        <v>2199</v>
      </c>
      <c r="D437" s="19">
        <v>46017</v>
      </c>
      <c r="E437" s="49"/>
      <c r="F437" s="49"/>
      <c r="G437" s="20"/>
      <c r="H437" s="20"/>
      <c r="I437" s="21">
        <v>77.884399999999999</v>
      </c>
      <c r="J437" s="22">
        <f>ROUND(I437*H437,2)</f>
        <v>0</v>
      </c>
      <c r="K437" s="23" t="e">
        <f>ROUND(G437/J437,4)</f>
        <v>#DIV/0!</v>
      </c>
      <c r="L437" s="24" t="e">
        <f>1-K437</f>
        <v>#DIV/0!</v>
      </c>
      <c r="M437" s="25" t="s">
        <v>2200</v>
      </c>
      <c r="N437" s="25" t="s">
        <v>2201</v>
      </c>
      <c r="O437" s="26" t="s">
        <v>2202</v>
      </c>
      <c r="P437" s="27" t="s">
        <v>107</v>
      </c>
      <c r="Q437" s="27" t="s">
        <v>25</v>
      </c>
      <c r="R437" s="64" t="s">
        <v>39</v>
      </c>
      <c r="S437" s="29">
        <v>381</v>
      </c>
      <c r="T437" s="1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 spans="1:34" x14ac:dyDescent="0.3">
      <c r="A438" s="16">
        <v>434</v>
      </c>
      <c r="B438" s="17" t="s">
        <v>2203</v>
      </c>
      <c r="C438" s="18" t="s">
        <v>2204</v>
      </c>
      <c r="D438" s="19">
        <v>46017</v>
      </c>
      <c r="E438" s="49"/>
      <c r="F438" s="49"/>
      <c r="G438" s="20"/>
      <c r="H438" s="20"/>
      <c r="I438" s="21">
        <v>77.884399999999999</v>
      </c>
      <c r="J438" s="22">
        <f>ROUND(I438*H438,2)</f>
        <v>0</v>
      </c>
      <c r="K438" s="23" t="e">
        <f>ROUND(G438/J438,4)</f>
        <v>#DIV/0!</v>
      </c>
      <c r="L438" s="24" t="e">
        <f>1-K438</f>
        <v>#DIV/0!</v>
      </c>
      <c r="M438" s="25" t="s">
        <v>2205</v>
      </c>
      <c r="N438" s="25" t="s">
        <v>2206</v>
      </c>
      <c r="O438" s="26" t="s">
        <v>2207</v>
      </c>
      <c r="P438" s="27" t="s">
        <v>32</v>
      </c>
      <c r="Q438" s="27" t="s">
        <v>25</v>
      </c>
      <c r="R438" s="64" t="s">
        <v>26</v>
      </c>
      <c r="S438" s="29">
        <v>382</v>
      </c>
      <c r="T438" s="1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 spans="1:34" x14ac:dyDescent="0.3">
      <c r="A439" s="16">
        <v>435</v>
      </c>
      <c r="B439" s="17" t="s">
        <v>2208</v>
      </c>
      <c r="C439" s="18" t="s">
        <v>2209</v>
      </c>
      <c r="D439" s="19">
        <v>46017</v>
      </c>
      <c r="E439" s="49"/>
      <c r="F439" s="49"/>
      <c r="G439" s="20"/>
      <c r="H439" s="20"/>
      <c r="I439" s="21">
        <v>77.884399999999999</v>
      </c>
      <c r="J439" s="22">
        <f>ROUND(I439*H439,2)</f>
        <v>0</v>
      </c>
      <c r="K439" s="23" t="e">
        <f>ROUND(G439/J439,4)</f>
        <v>#DIV/0!</v>
      </c>
      <c r="L439" s="24" t="e">
        <f>1-K439</f>
        <v>#DIV/0!</v>
      </c>
      <c r="M439" s="25" t="s">
        <v>2210</v>
      </c>
      <c r="N439" s="25" t="s">
        <v>2211</v>
      </c>
      <c r="O439" s="26" t="s">
        <v>2212</v>
      </c>
      <c r="P439" s="27" t="s">
        <v>24</v>
      </c>
      <c r="Q439" s="27" t="s">
        <v>25</v>
      </c>
      <c r="R439" s="64" t="s">
        <v>26</v>
      </c>
      <c r="S439" s="29">
        <v>383</v>
      </c>
      <c r="T439" s="1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 spans="1:34" x14ac:dyDescent="0.3">
      <c r="A440" s="16">
        <v>436</v>
      </c>
      <c r="B440" s="17" t="s">
        <v>2213</v>
      </c>
      <c r="C440" s="18" t="s">
        <v>2214</v>
      </c>
      <c r="D440" s="19">
        <v>46017</v>
      </c>
      <c r="E440" s="49"/>
      <c r="F440" s="49"/>
      <c r="G440" s="20"/>
      <c r="H440" s="20"/>
      <c r="I440" s="21">
        <v>77.884399999999999</v>
      </c>
      <c r="J440" s="22">
        <f>ROUND(I440*H440,2)</f>
        <v>0</v>
      </c>
      <c r="K440" s="23" t="e">
        <f>ROUND(G440/J440,4)</f>
        <v>#DIV/0!</v>
      </c>
      <c r="L440" s="24" t="e">
        <f>1-K440</f>
        <v>#DIV/0!</v>
      </c>
      <c r="M440" s="25" t="s">
        <v>2215</v>
      </c>
      <c r="N440" s="25" t="s">
        <v>2216</v>
      </c>
      <c r="O440" s="26" t="s">
        <v>2217</v>
      </c>
      <c r="P440" s="27" t="s">
        <v>1519</v>
      </c>
      <c r="Q440" s="27" t="s">
        <v>25</v>
      </c>
      <c r="R440" s="64" t="s">
        <v>39</v>
      </c>
      <c r="S440" s="29">
        <v>384</v>
      </c>
      <c r="T440" s="1"/>
    </row>
    <row r="441" spans="1:34" x14ac:dyDescent="0.3">
      <c r="A441" s="16">
        <v>437</v>
      </c>
      <c r="B441" s="17" t="s">
        <v>2218</v>
      </c>
      <c r="C441" s="18" t="s">
        <v>2219</v>
      </c>
      <c r="D441" s="19">
        <v>46017</v>
      </c>
      <c r="E441" s="49"/>
      <c r="F441" s="49"/>
      <c r="G441" s="20"/>
      <c r="H441" s="20"/>
      <c r="I441" s="21">
        <v>77.884399999999999</v>
      </c>
      <c r="J441" s="22">
        <f>ROUND(I441*H441,2)</f>
        <v>0</v>
      </c>
      <c r="K441" s="23" t="e">
        <f>ROUND(G441/J441,4)</f>
        <v>#DIV/0!</v>
      </c>
      <c r="L441" s="24" t="e">
        <f>1-K441</f>
        <v>#DIV/0!</v>
      </c>
      <c r="M441" s="25" t="s">
        <v>2220</v>
      </c>
      <c r="N441" s="25" t="s">
        <v>2221</v>
      </c>
      <c r="O441" s="26" t="s">
        <v>2222</v>
      </c>
      <c r="P441" s="27" t="s">
        <v>351</v>
      </c>
      <c r="Q441" s="27" t="s">
        <v>25</v>
      </c>
      <c r="R441" s="21" t="s">
        <v>26</v>
      </c>
      <c r="S441" s="29">
        <v>385</v>
      </c>
      <c r="T441" s="1"/>
    </row>
    <row r="442" spans="1:34" x14ac:dyDescent="0.3">
      <c r="A442" s="16">
        <v>438</v>
      </c>
      <c r="B442" s="17" t="s">
        <v>2223</v>
      </c>
      <c r="C442" s="18" t="s">
        <v>2224</v>
      </c>
      <c r="D442" s="19">
        <v>46017</v>
      </c>
      <c r="E442" s="49"/>
      <c r="F442" s="49"/>
      <c r="G442" s="20"/>
      <c r="H442" s="20"/>
      <c r="I442" s="21">
        <v>77.884399999999999</v>
      </c>
      <c r="J442" s="22">
        <f>ROUND(I442*H442,2)</f>
        <v>0</v>
      </c>
      <c r="K442" s="23" t="e">
        <f>ROUND(G442/J442,4)</f>
        <v>#DIV/0!</v>
      </c>
      <c r="L442" s="24" t="e">
        <f>1-K442</f>
        <v>#DIV/0!</v>
      </c>
      <c r="M442" s="25" t="s">
        <v>2225</v>
      </c>
      <c r="N442" s="25" t="s">
        <v>2226</v>
      </c>
      <c r="O442" s="26" t="s">
        <v>2227</v>
      </c>
      <c r="P442" s="27" t="s">
        <v>351</v>
      </c>
      <c r="Q442" s="27" t="s">
        <v>25</v>
      </c>
      <c r="R442" s="21" t="s">
        <v>39</v>
      </c>
      <c r="S442" s="29">
        <v>386</v>
      </c>
      <c r="T442" s="1"/>
    </row>
    <row r="443" spans="1:34" x14ac:dyDescent="0.3">
      <c r="A443" s="16">
        <v>439</v>
      </c>
      <c r="B443" s="17" t="s">
        <v>2228</v>
      </c>
      <c r="C443" s="18" t="s">
        <v>2229</v>
      </c>
      <c r="D443" s="19">
        <v>46017</v>
      </c>
      <c r="E443" s="49"/>
      <c r="F443" s="49"/>
      <c r="G443" s="20"/>
      <c r="H443" s="20"/>
      <c r="I443" s="21">
        <v>77.884399999999999</v>
      </c>
      <c r="J443" s="22">
        <f>ROUND(I443*H443,2)</f>
        <v>0</v>
      </c>
      <c r="K443" s="23" t="e">
        <f>ROUND(G443/J443,4)</f>
        <v>#DIV/0!</v>
      </c>
      <c r="L443" s="24" t="e">
        <f>1-K443</f>
        <v>#DIV/0!</v>
      </c>
      <c r="M443" s="25" t="s">
        <v>2230</v>
      </c>
      <c r="N443" s="25" t="s">
        <v>2231</v>
      </c>
      <c r="O443" s="26" t="s">
        <v>2232</v>
      </c>
      <c r="P443" s="27" t="s">
        <v>903</v>
      </c>
      <c r="Q443" s="27" t="s">
        <v>25</v>
      </c>
      <c r="R443" s="21" t="s">
        <v>39</v>
      </c>
      <c r="S443" s="29">
        <v>387</v>
      </c>
      <c r="T443" s="1"/>
    </row>
    <row r="444" spans="1:34" x14ac:dyDescent="0.3">
      <c r="A444" s="16">
        <v>440</v>
      </c>
      <c r="B444" s="17" t="s">
        <v>2233</v>
      </c>
      <c r="C444" s="18" t="s">
        <v>2234</v>
      </c>
      <c r="D444" s="19">
        <v>46017</v>
      </c>
      <c r="E444" s="49"/>
      <c r="F444" s="49"/>
      <c r="G444" s="20"/>
      <c r="H444" s="20"/>
      <c r="I444" s="21">
        <v>77.884399999999999</v>
      </c>
      <c r="J444" s="22">
        <f>ROUND(I444*H444,2)</f>
        <v>0</v>
      </c>
      <c r="K444" s="23" t="e">
        <f>ROUND(G444/J444,4)</f>
        <v>#DIV/0!</v>
      </c>
      <c r="L444" s="24" t="e">
        <f>1-K444</f>
        <v>#DIV/0!</v>
      </c>
      <c r="M444" s="25" t="s">
        <v>2235</v>
      </c>
      <c r="N444" s="25" t="s">
        <v>2236</v>
      </c>
      <c r="O444" s="26" t="s">
        <v>2237</v>
      </c>
      <c r="P444" s="27" t="s">
        <v>351</v>
      </c>
      <c r="Q444" s="27" t="s">
        <v>25</v>
      </c>
      <c r="R444" s="21" t="s">
        <v>39</v>
      </c>
      <c r="S444" s="29">
        <v>388</v>
      </c>
      <c r="T444" s="1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 spans="1:34" x14ac:dyDescent="0.3">
      <c r="A445" s="16">
        <v>441</v>
      </c>
      <c r="B445" s="17" t="s">
        <v>2238</v>
      </c>
      <c r="C445" s="18" t="s">
        <v>2239</v>
      </c>
      <c r="D445" s="19">
        <v>46017</v>
      </c>
      <c r="E445" s="49"/>
      <c r="F445" s="49"/>
      <c r="G445" s="20"/>
      <c r="H445" s="20"/>
      <c r="I445" s="21">
        <v>77.884399999999999</v>
      </c>
      <c r="J445" s="22">
        <f>ROUND(I445*H445,2)</f>
        <v>0</v>
      </c>
      <c r="K445" s="23" t="e">
        <f>ROUND(G445/J445,4)</f>
        <v>#DIV/0!</v>
      </c>
      <c r="L445" s="24" t="e">
        <f>1-K445</f>
        <v>#DIV/0!</v>
      </c>
      <c r="M445" s="25" t="s">
        <v>2240</v>
      </c>
      <c r="N445" s="25" t="s">
        <v>2241</v>
      </c>
      <c r="O445" s="26" t="s">
        <v>2242</v>
      </c>
      <c r="P445" s="27" t="s">
        <v>2243</v>
      </c>
      <c r="Q445" s="27" t="s">
        <v>25</v>
      </c>
      <c r="R445" s="21" t="s">
        <v>39</v>
      </c>
      <c r="S445" s="29">
        <v>389</v>
      </c>
      <c r="T445" s="1"/>
    </row>
    <row r="446" spans="1:34" x14ac:dyDescent="0.3">
      <c r="A446" s="16">
        <v>442</v>
      </c>
      <c r="B446" s="17" t="s">
        <v>2244</v>
      </c>
      <c r="C446" s="18" t="s">
        <v>2245</v>
      </c>
      <c r="D446" s="19">
        <v>46017</v>
      </c>
      <c r="E446" s="49"/>
      <c r="F446" s="49"/>
      <c r="G446" s="20"/>
      <c r="H446" s="20"/>
      <c r="I446" s="21">
        <v>77.884399999999999</v>
      </c>
      <c r="J446" s="22">
        <f>ROUND(I446*H446,2)</f>
        <v>0</v>
      </c>
      <c r="K446" s="23" t="e">
        <f>ROUND(G446/J446,4)</f>
        <v>#DIV/0!</v>
      </c>
      <c r="L446" s="24" t="e">
        <f>1-K446</f>
        <v>#DIV/0!</v>
      </c>
      <c r="M446" s="25" t="s">
        <v>2246</v>
      </c>
      <c r="N446" s="25" t="s">
        <v>2247</v>
      </c>
      <c r="O446" s="26" t="s">
        <v>2248</v>
      </c>
      <c r="P446" s="27" t="s">
        <v>189</v>
      </c>
      <c r="Q446" s="27" t="s">
        <v>25</v>
      </c>
      <c r="R446" s="21" t="s">
        <v>39</v>
      </c>
      <c r="S446" s="29">
        <v>390</v>
      </c>
      <c r="T446" s="1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 spans="1:34" x14ac:dyDescent="0.3">
      <c r="A447" s="16">
        <v>443</v>
      </c>
      <c r="B447" s="17" t="s">
        <v>2249</v>
      </c>
      <c r="C447" s="18" t="s">
        <v>2250</v>
      </c>
      <c r="D447" s="19">
        <v>46017</v>
      </c>
      <c r="E447" s="49"/>
      <c r="F447" s="49"/>
      <c r="G447" s="20"/>
      <c r="H447" s="20"/>
      <c r="I447" s="21">
        <v>77.884399999999999</v>
      </c>
      <c r="J447" s="22">
        <f>ROUND(I447*H447,2)</f>
        <v>0</v>
      </c>
      <c r="K447" s="23" t="e">
        <f>ROUND(G447/J447,4)</f>
        <v>#DIV/0!</v>
      </c>
      <c r="L447" s="24" t="e">
        <f>1-K447</f>
        <v>#DIV/0!</v>
      </c>
      <c r="M447" s="25" t="s">
        <v>2251</v>
      </c>
      <c r="N447" s="25" t="s">
        <v>2252</v>
      </c>
      <c r="O447" s="26" t="s">
        <v>2253</v>
      </c>
      <c r="P447" s="27" t="s">
        <v>146</v>
      </c>
      <c r="Q447" s="27" t="s">
        <v>25</v>
      </c>
      <c r="R447" s="21" t="s">
        <v>39</v>
      </c>
      <c r="S447" s="29">
        <v>391</v>
      </c>
      <c r="T447" s="1"/>
    </row>
    <row r="448" spans="1:34" x14ac:dyDescent="0.3">
      <c r="A448" s="31">
        <v>444</v>
      </c>
      <c r="B448" s="26" t="s">
        <v>2254</v>
      </c>
      <c r="C448" s="27" t="s">
        <v>2255</v>
      </c>
      <c r="D448" s="19">
        <v>46017</v>
      </c>
      <c r="E448" s="49"/>
      <c r="F448" s="49"/>
      <c r="G448" s="20"/>
      <c r="H448" s="20"/>
      <c r="I448" s="21">
        <v>77.884399999999999</v>
      </c>
      <c r="J448" s="22">
        <f>ROUND(I448*H448,2)</f>
        <v>0</v>
      </c>
      <c r="K448" s="23" t="e">
        <f>ROUND(G448/J448,4)</f>
        <v>#DIV/0!</v>
      </c>
      <c r="L448" s="24" t="e">
        <f>1-K448</f>
        <v>#DIV/0!</v>
      </c>
      <c r="M448" s="25"/>
      <c r="N448" s="25"/>
      <c r="O448" s="26" t="s">
        <v>2256</v>
      </c>
      <c r="P448" s="27" t="s">
        <v>2257</v>
      </c>
      <c r="Q448" s="27" t="s">
        <v>25</v>
      </c>
      <c r="R448" s="21" t="s">
        <v>39</v>
      </c>
      <c r="S448" s="29"/>
      <c r="T448" s="1"/>
    </row>
    <row r="449" spans="1:34" x14ac:dyDescent="0.3">
      <c r="A449" s="16">
        <v>445</v>
      </c>
      <c r="B449" s="17" t="s">
        <v>2258</v>
      </c>
      <c r="C449" s="18" t="s">
        <v>2259</v>
      </c>
      <c r="D449" s="19">
        <v>46017</v>
      </c>
      <c r="E449" s="49"/>
      <c r="F449" s="49"/>
      <c r="G449" s="20"/>
      <c r="H449" s="20"/>
      <c r="I449" s="21">
        <v>77.884399999999999</v>
      </c>
      <c r="J449" s="22">
        <f>ROUND(I449*H449,2)</f>
        <v>0</v>
      </c>
      <c r="K449" s="23" t="e">
        <f>ROUND(G449/J449,4)</f>
        <v>#DIV/0!</v>
      </c>
      <c r="L449" s="24" t="e">
        <f>1-K449</f>
        <v>#DIV/0!</v>
      </c>
      <c r="M449" s="25" t="s">
        <v>2260</v>
      </c>
      <c r="N449" s="25" t="s">
        <v>2261</v>
      </c>
      <c r="O449" s="26" t="s">
        <v>2262</v>
      </c>
      <c r="P449" s="27" t="s">
        <v>32</v>
      </c>
      <c r="Q449" s="27" t="s">
        <v>25</v>
      </c>
      <c r="R449" s="21" t="s">
        <v>26</v>
      </c>
      <c r="S449" s="29">
        <v>392</v>
      </c>
      <c r="T449" s="1"/>
    </row>
    <row r="450" spans="1:34" x14ac:dyDescent="0.3">
      <c r="A450" s="16">
        <v>446</v>
      </c>
      <c r="B450" s="17" t="s">
        <v>2263</v>
      </c>
      <c r="C450" s="34" t="s">
        <v>2264</v>
      </c>
      <c r="D450" s="19">
        <v>46017</v>
      </c>
      <c r="E450" s="49"/>
      <c r="F450" s="49"/>
      <c r="G450" s="20"/>
      <c r="H450" s="20"/>
      <c r="I450" s="21">
        <v>77.884399999999999</v>
      </c>
      <c r="J450" s="22">
        <f>ROUND(I450*H450,2)</f>
        <v>0</v>
      </c>
      <c r="K450" s="23" t="e">
        <f>ROUND(G450/J450,4)</f>
        <v>#DIV/0!</v>
      </c>
      <c r="L450" s="24" t="e">
        <f>1-K450</f>
        <v>#DIV/0!</v>
      </c>
      <c r="M450" s="25" t="s">
        <v>2265</v>
      </c>
      <c r="N450" s="25" t="s">
        <v>2266</v>
      </c>
      <c r="O450" s="26" t="s">
        <v>2267</v>
      </c>
      <c r="P450" s="27" t="s">
        <v>319</v>
      </c>
      <c r="Q450" s="27" t="s">
        <v>25</v>
      </c>
      <c r="R450" s="21" t="s">
        <v>39</v>
      </c>
      <c r="S450" s="29">
        <v>393</v>
      </c>
      <c r="T450" s="1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 spans="1:34" x14ac:dyDescent="0.3">
      <c r="A451" s="16">
        <v>447</v>
      </c>
      <c r="B451" s="17" t="s">
        <v>2268</v>
      </c>
      <c r="C451" s="18" t="s">
        <v>2269</v>
      </c>
      <c r="D451" s="19">
        <v>46017</v>
      </c>
      <c r="E451" s="49"/>
      <c r="F451" s="49"/>
      <c r="G451" s="20"/>
      <c r="H451" s="20"/>
      <c r="I451" s="21">
        <v>77.884399999999999</v>
      </c>
      <c r="J451" s="22">
        <f>ROUND(I451*H451,2)</f>
        <v>0</v>
      </c>
      <c r="K451" s="23" t="e">
        <f>ROUND(G451/J451,4)</f>
        <v>#DIV/0!</v>
      </c>
      <c r="L451" s="24" t="e">
        <f>1-K451</f>
        <v>#DIV/0!</v>
      </c>
      <c r="M451" s="25" t="s">
        <v>2270</v>
      </c>
      <c r="N451" s="25" t="s">
        <v>2271</v>
      </c>
      <c r="O451" s="26" t="s">
        <v>2272</v>
      </c>
      <c r="P451" s="27" t="s">
        <v>250</v>
      </c>
      <c r="Q451" s="27" t="s">
        <v>25</v>
      </c>
      <c r="R451" s="21" t="s">
        <v>26</v>
      </c>
      <c r="S451" s="29">
        <v>394</v>
      </c>
      <c r="T451" s="1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 spans="1:34" x14ac:dyDescent="0.3">
      <c r="A452" s="16">
        <v>448</v>
      </c>
      <c r="B452" s="17" t="s">
        <v>2273</v>
      </c>
      <c r="C452" s="18" t="s">
        <v>2274</v>
      </c>
      <c r="D452" s="19">
        <v>46017</v>
      </c>
      <c r="E452" s="49"/>
      <c r="F452" s="49"/>
      <c r="G452" s="20"/>
      <c r="H452" s="20"/>
      <c r="I452" s="21">
        <v>77.884399999999999</v>
      </c>
      <c r="J452" s="22">
        <f>ROUND(I452*H452,2)</f>
        <v>0</v>
      </c>
      <c r="K452" s="23" t="e">
        <f>ROUND(G452/J452,4)</f>
        <v>#DIV/0!</v>
      </c>
      <c r="L452" s="24" t="e">
        <f>1-K452</f>
        <v>#DIV/0!</v>
      </c>
      <c r="M452" s="25" t="s">
        <v>2275</v>
      </c>
      <c r="N452" s="25" t="s">
        <v>2276</v>
      </c>
      <c r="O452" s="26" t="s">
        <v>2277</v>
      </c>
      <c r="P452" s="27" t="s">
        <v>2278</v>
      </c>
      <c r="Q452" s="27" t="s">
        <v>25</v>
      </c>
      <c r="R452" s="64" t="s">
        <v>39</v>
      </c>
      <c r="S452" s="29">
        <v>395</v>
      </c>
      <c r="T452" s="1"/>
    </row>
    <row r="453" spans="1:34" x14ac:dyDescent="0.3">
      <c r="A453" s="16">
        <v>449</v>
      </c>
      <c r="B453" s="17" t="s">
        <v>2279</v>
      </c>
      <c r="C453" s="34" t="s">
        <v>2280</v>
      </c>
      <c r="D453" s="19">
        <v>46017</v>
      </c>
      <c r="E453" s="49"/>
      <c r="F453" s="49"/>
      <c r="G453" s="20"/>
      <c r="H453" s="20"/>
      <c r="I453" s="21">
        <v>77.884399999999999</v>
      </c>
      <c r="J453" s="22">
        <f>ROUND(I453*H453,2)</f>
        <v>0</v>
      </c>
      <c r="K453" s="23" t="e">
        <f>ROUND(G453/J453,4)</f>
        <v>#DIV/0!</v>
      </c>
      <c r="L453" s="24" t="e">
        <f>1-K453</f>
        <v>#DIV/0!</v>
      </c>
      <c r="M453" s="25" t="s">
        <v>2281</v>
      </c>
      <c r="N453" s="25" t="s">
        <v>2282</v>
      </c>
      <c r="O453" s="26" t="s">
        <v>2283</v>
      </c>
      <c r="P453" s="27" t="s">
        <v>1100</v>
      </c>
      <c r="Q453" s="27" t="s">
        <v>25</v>
      </c>
      <c r="R453" s="64" t="s">
        <v>26</v>
      </c>
      <c r="S453" s="29">
        <v>396</v>
      </c>
      <c r="T453" s="1"/>
    </row>
    <row r="454" spans="1:34" x14ac:dyDescent="0.3">
      <c r="A454" s="16">
        <v>450</v>
      </c>
      <c r="B454" s="17" t="s">
        <v>2284</v>
      </c>
      <c r="C454" s="18" t="s">
        <v>2285</v>
      </c>
      <c r="D454" s="19">
        <v>46017</v>
      </c>
      <c r="E454" s="49"/>
      <c r="F454" s="49"/>
      <c r="G454" s="20"/>
      <c r="H454" s="20"/>
      <c r="I454" s="21">
        <v>77.884399999999999</v>
      </c>
      <c r="J454" s="22">
        <f>ROUND(I454*H454,2)</f>
        <v>0</v>
      </c>
      <c r="K454" s="23" t="e">
        <f>ROUND(G454/J454,4)</f>
        <v>#DIV/0!</v>
      </c>
      <c r="L454" s="24" t="e">
        <f>1-K454</f>
        <v>#DIV/0!</v>
      </c>
      <c r="M454" s="25" t="s">
        <v>2286</v>
      </c>
      <c r="N454" s="25" t="s">
        <v>2287</v>
      </c>
      <c r="O454" s="26" t="s">
        <v>2288</v>
      </c>
      <c r="P454" s="27" t="s">
        <v>1100</v>
      </c>
      <c r="Q454" s="27" t="s">
        <v>25</v>
      </c>
      <c r="R454" s="21" t="s">
        <v>26</v>
      </c>
      <c r="S454" s="29">
        <v>397</v>
      </c>
      <c r="T454" s="1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 spans="1:34" x14ac:dyDescent="0.3">
      <c r="A455" s="31">
        <v>451</v>
      </c>
      <c r="B455" s="32" t="s">
        <v>2289</v>
      </c>
      <c r="C455" s="33" t="s">
        <v>2290</v>
      </c>
      <c r="D455" s="19">
        <v>46017</v>
      </c>
      <c r="E455" s="49"/>
      <c r="F455" s="49"/>
      <c r="G455" s="20"/>
      <c r="H455" s="20"/>
      <c r="I455" s="21">
        <v>77.884399999999999</v>
      </c>
      <c r="J455" s="22">
        <f>ROUND(I455*H455,2)</f>
        <v>0</v>
      </c>
      <c r="K455" s="23" t="e">
        <f>ROUND(G455/J455,4)</f>
        <v>#DIV/0!</v>
      </c>
      <c r="L455" s="24" t="e">
        <f>1-K455</f>
        <v>#DIV/0!</v>
      </c>
      <c r="M455" s="25" t="s">
        <v>2291</v>
      </c>
      <c r="N455" s="25" t="s">
        <v>2292</v>
      </c>
      <c r="O455" s="26" t="s">
        <v>2293</v>
      </c>
      <c r="P455" s="27" t="s">
        <v>2294</v>
      </c>
      <c r="Q455" s="27" t="s">
        <v>25</v>
      </c>
      <c r="R455" s="21" t="s">
        <v>39</v>
      </c>
      <c r="S455" s="29">
        <v>398</v>
      </c>
      <c r="T455" s="1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 spans="1:34" x14ac:dyDescent="0.3">
      <c r="A456" s="31">
        <v>452</v>
      </c>
      <c r="B456" s="26" t="s">
        <v>2295</v>
      </c>
      <c r="C456" s="27" t="s">
        <v>2296</v>
      </c>
      <c r="D456" s="19">
        <v>46017</v>
      </c>
      <c r="E456" s="49"/>
      <c r="F456" s="49"/>
      <c r="G456" s="20"/>
      <c r="H456" s="20"/>
      <c r="I456" s="21">
        <v>77.884399999999999</v>
      </c>
      <c r="J456" s="22">
        <f>ROUND(I456*H456,2)</f>
        <v>0</v>
      </c>
      <c r="K456" s="23" t="e">
        <f>ROUND(G456/J456,4)</f>
        <v>#DIV/0!</v>
      </c>
      <c r="L456" s="24" t="e">
        <f>1-K456</f>
        <v>#DIV/0!</v>
      </c>
      <c r="M456" s="25"/>
      <c r="N456" s="25"/>
      <c r="O456" s="26" t="s">
        <v>2297</v>
      </c>
      <c r="P456" s="27" t="s">
        <v>146</v>
      </c>
      <c r="Q456" s="27" t="s">
        <v>25</v>
      </c>
      <c r="R456" s="64" t="s">
        <v>39</v>
      </c>
      <c r="S456" s="29"/>
      <c r="T456" s="1"/>
    </row>
    <row r="457" spans="1:34" x14ac:dyDescent="0.3">
      <c r="A457" s="31">
        <v>453</v>
      </c>
      <c r="B457" s="26" t="s">
        <v>2298</v>
      </c>
      <c r="C457" s="27" t="s">
        <v>2299</v>
      </c>
      <c r="D457" s="19">
        <v>46017</v>
      </c>
      <c r="E457" s="49"/>
      <c r="F457" s="49"/>
      <c r="G457" s="20"/>
      <c r="H457" s="20"/>
      <c r="I457" s="21">
        <v>77.884399999999999</v>
      </c>
      <c r="J457" s="22">
        <f>ROUND(I457*H457,2)</f>
        <v>0</v>
      </c>
      <c r="K457" s="23" t="e">
        <f>ROUND(G457/J457,4)</f>
        <v>#DIV/0!</v>
      </c>
      <c r="L457" s="24" t="e">
        <f>1-K457</f>
        <v>#DIV/0!</v>
      </c>
      <c r="M457" s="25"/>
      <c r="N457" s="25"/>
      <c r="O457" s="26" t="s">
        <v>2300</v>
      </c>
      <c r="P457" s="27" t="s">
        <v>2301</v>
      </c>
      <c r="Q457" s="27" t="s">
        <v>25</v>
      </c>
      <c r="R457" s="21" t="s">
        <v>26</v>
      </c>
      <c r="S457" s="29"/>
      <c r="T457" s="1"/>
    </row>
    <row r="458" spans="1:34" x14ac:dyDescent="0.3">
      <c r="A458" s="16">
        <v>454</v>
      </c>
      <c r="B458" s="17" t="s">
        <v>2302</v>
      </c>
      <c r="C458" s="18" t="s">
        <v>2303</v>
      </c>
      <c r="D458" s="19">
        <v>46017</v>
      </c>
      <c r="E458" s="49"/>
      <c r="F458" s="49"/>
      <c r="G458" s="20"/>
      <c r="H458" s="20"/>
      <c r="I458" s="21">
        <v>77.884399999999999</v>
      </c>
      <c r="J458" s="22">
        <f>ROUND(I458*H458,2)</f>
        <v>0</v>
      </c>
      <c r="K458" s="23" t="e">
        <f>ROUND(G458/J458,4)</f>
        <v>#DIV/0!</v>
      </c>
      <c r="L458" s="24" t="e">
        <f>1-K458</f>
        <v>#DIV/0!</v>
      </c>
      <c r="M458" s="25" t="s">
        <v>2304</v>
      </c>
      <c r="N458" s="25" t="s">
        <v>2305</v>
      </c>
      <c r="O458" s="26" t="s">
        <v>2306</v>
      </c>
      <c r="P458" s="27" t="s">
        <v>134</v>
      </c>
      <c r="Q458" s="27" t="s">
        <v>25</v>
      </c>
      <c r="R458" s="21" t="s">
        <v>26</v>
      </c>
      <c r="S458" s="29">
        <v>399</v>
      </c>
      <c r="T458" s="1"/>
    </row>
    <row r="459" spans="1:34" x14ac:dyDescent="0.3">
      <c r="A459" s="31">
        <v>455</v>
      </c>
      <c r="B459" s="32" t="s">
        <v>2307</v>
      </c>
      <c r="C459" s="33" t="s">
        <v>2308</v>
      </c>
      <c r="D459" s="19">
        <v>46017</v>
      </c>
      <c r="E459" s="49"/>
      <c r="F459" s="49"/>
      <c r="G459" s="20"/>
      <c r="H459" s="20"/>
      <c r="I459" s="21">
        <v>77.884399999999999</v>
      </c>
      <c r="J459" s="22">
        <f>ROUND(I459*H459,2)</f>
        <v>0</v>
      </c>
      <c r="K459" s="23" t="e">
        <f>ROUND(G459/J459,4)</f>
        <v>#DIV/0!</v>
      </c>
      <c r="L459" s="24" t="e">
        <f>1-K459</f>
        <v>#DIV/0!</v>
      </c>
      <c r="M459" s="25" t="s">
        <v>2309</v>
      </c>
      <c r="N459" s="25" t="s">
        <v>2310</v>
      </c>
      <c r="O459" s="26" t="s">
        <v>2311</v>
      </c>
      <c r="P459" s="27" t="s">
        <v>2312</v>
      </c>
      <c r="Q459" s="27" t="s">
        <v>25</v>
      </c>
      <c r="R459" s="21" t="s">
        <v>26</v>
      </c>
      <c r="S459" s="29">
        <v>400</v>
      </c>
      <c r="T459" s="1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 spans="1:34" x14ac:dyDescent="0.3">
      <c r="A460" s="16">
        <v>456</v>
      </c>
      <c r="B460" s="17" t="s">
        <v>2313</v>
      </c>
      <c r="C460" s="18" t="s">
        <v>2314</v>
      </c>
      <c r="D460" s="19">
        <v>46017</v>
      </c>
      <c r="E460" s="49"/>
      <c r="F460" s="49"/>
      <c r="G460" s="20"/>
      <c r="H460" s="20"/>
      <c r="I460" s="21">
        <v>77.884399999999999</v>
      </c>
      <c r="J460" s="22">
        <f>ROUND(I460*H460,2)</f>
        <v>0</v>
      </c>
      <c r="K460" s="23" t="e">
        <f>ROUND(G460/J460,4)</f>
        <v>#DIV/0!</v>
      </c>
      <c r="L460" s="24" t="e">
        <f>1-K460</f>
        <v>#DIV/0!</v>
      </c>
      <c r="M460" s="25" t="s">
        <v>2315</v>
      </c>
      <c r="N460" s="25" t="s">
        <v>2316</v>
      </c>
      <c r="O460" s="26" t="s">
        <v>2317</v>
      </c>
      <c r="P460" s="27" t="s">
        <v>918</v>
      </c>
      <c r="Q460" s="27" t="s">
        <v>25</v>
      </c>
      <c r="R460" s="64" t="s">
        <v>39</v>
      </c>
      <c r="S460" s="29">
        <v>401</v>
      </c>
      <c r="T460" s="1"/>
    </row>
    <row r="461" spans="1:34" x14ac:dyDescent="0.3">
      <c r="A461" s="31">
        <v>457</v>
      </c>
      <c r="B461" s="32" t="s">
        <v>2318</v>
      </c>
      <c r="C461" s="33" t="s">
        <v>2319</v>
      </c>
      <c r="D461" s="19">
        <v>46017</v>
      </c>
      <c r="E461" s="49"/>
      <c r="F461" s="49"/>
      <c r="G461" s="20"/>
      <c r="H461" s="20"/>
      <c r="I461" s="21">
        <v>77.884399999999999</v>
      </c>
      <c r="J461" s="22">
        <f>ROUND(I461*H461,2)</f>
        <v>0</v>
      </c>
      <c r="K461" s="23" t="e">
        <f>ROUND(G461/J461,4)</f>
        <v>#DIV/0!</v>
      </c>
      <c r="L461" s="24" t="e">
        <f>1-K461</f>
        <v>#DIV/0!</v>
      </c>
      <c r="M461" s="25" t="s">
        <v>2320</v>
      </c>
      <c r="N461" s="25" t="s">
        <v>2321</v>
      </c>
      <c r="O461" s="26" t="s">
        <v>2322</v>
      </c>
      <c r="P461" s="27" t="s">
        <v>2323</v>
      </c>
      <c r="Q461" s="27" t="s">
        <v>25</v>
      </c>
      <c r="R461" s="21" t="s">
        <v>39</v>
      </c>
      <c r="S461" s="29">
        <v>402</v>
      </c>
      <c r="T461" s="1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 spans="1:34" x14ac:dyDescent="0.3">
      <c r="A462" s="31">
        <v>458</v>
      </c>
      <c r="B462" s="32" t="s">
        <v>2324</v>
      </c>
      <c r="C462" s="33" t="s">
        <v>2325</v>
      </c>
      <c r="D462" s="19">
        <v>46017</v>
      </c>
      <c r="E462" s="49"/>
      <c r="F462" s="49"/>
      <c r="G462" s="20"/>
      <c r="H462" s="20"/>
      <c r="I462" s="21">
        <v>77.884399999999999</v>
      </c>
      <c r="J462" s="22">
        <f>ROUND(I462*H462,2)</f>
        <v>0</v>
      </c>
      <c r="K462" s="23" t="e">
        <f>ROUND(G462/J462,4)</f>
        <v>#DIV/0!</v>
      </c>
      <c r="L462" s="24" t="e">
        <f>1-K462</f>
        <v>#DIV/0!</v>
      </c>
      <c r="M462" s="25" t="s">
        <v>2326</v>
      </c>
      <c r="N462" s="25" t="s">
        <v>2327</v>
      </c>
      <c r="O462" s="26" t="s">
        <v>2328</v>
      </c>
      <c r="P462" s="27" t="s">
        <v>1617</v>
      </c>
      <c r="Q462" s="27" t="s">
        <v>25</v>
      </c>
      <c r="R462" s="64" t="s">
        <v>39</v>
      </c>
      <c r="S462" s="29">
        <v>403</v>
      </c>
      <c r="T462" s="1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 spans="1:34" x14ac:dyDescent="0.3">
      <c r="A463" s="16">
        <v>459</v>
      </c>
      <c r="B463" s="17" t="s">
        <v>2329</v>
      </c>
      <c r="C463" s="18" t="s">
        <v>2330</v>
      </c>
      <c r="D463" s="19">
        <v>46017</v>
      </c>
      <c r="E463" s="49"/>
      <c r="F463" s="49"/>
      <c r="G463" s="20"/>
      <c r="H463" s="20"/>
      <c r="I463" s="21">
        <v>77.884399999999999</v>
      </c>
      <c r="J463" s="22">
        <f>ROUND(I463*H463,2)</f>
        <v>0</v>
      </c>
      <c r="K463" s="23" t="e">
        <f>ROUND(G463/J463,4)</f>
        <v>#DIV/0!</v>
      </c>
      <c r="L463" s="24" t="e">
        <f>1-K463</f>
        <v>#DIV/0!</v>
      </c>
      <c r="M463" s="25" t="s">
        <v>2331</v>
      </c>
      <c r="N463" s="25" t="s">
        <v>2332</v>
      </c>
      <c r="O463" s="26" t="s">
        <v>2333</v>
      </c>
      <c r="P463" s="27" t="s">
        <v>174</v>
      </c>
      <c r="Q463" s="27" t="s">
        <v>25</v>
      </c>
      <c r="R463" s="21" t="s">
        <v>39</v>
      </c>
      <c r="S463" s="29">
        <v>404</v>
      </c>
      <c r="T463" s="1"/>
    </row>
    <row r="464" spans="1:34" x14ac:dyDescent="0.3">
      <c r="A464" s="31">
        <v>460</v>
      </c>
      <c r="B464" s="26" t="s">
        <v>2334</v>
      </c>
      <c r="C464" s="27" t="s">
        <v>2335</v>
      </c>
      <c r="D464" s="19">
        <v>46017</v>
      </c>
      <c r="E464" s="49"/>
      <c r="F464" s="49"/>
      <c r="G464" s="20"/>
      <c r="H464" s="20"/>
      <c r="I464" s="21">
        <v>77.884399999999999</v>
      </c>
      <c r="J464" s="22">
        <f>ROUND(I464*H464,2)</f>
        <v>0</v>
      </c>
      <c r="K464" s="23" t="e">
        <f>ROUND(G464/J464,4)</f>
        <v>#DIV/0!</v>
      </c>
      <c r="L464" s="24" t="e">
        <f>1-K464</f>
        <v>#DIV/0!</v>
      </c>
      <c r="M464" s="25"/>
      <c r="N464" s="25"/>
      <c r="O464" s="26" t="s">
        <v>2336</v>
      </c>
      <c r="P464" s="27" t="s">
        <v>2337</v>
      </c>
      <c r="Q464" s="27" t="s">
        <v>2338</v>
      </c>
      <c r="R464" s="21" t="s">
        <v>39</v>
      </c>
      <c r="S464" s="29"/>
      <c r="T464" s="1"/>
    </row>
    <row r="465" spans="1:34" x14ac:dyDescent="0.3">
      <c r="A465" s="16">
        <v>461</v>
      </c>
      <c r="B465" s="17" t="s">
        <v>2339</v>
      </c>
      <c r="C465" s="18" t="s">
        <v>2340</v>
      </c>
      <c r="D465" s="19">
        <v>46017</v>
      </c>
      <c r="E465" s="49"/>
      <c r="F465" s="49"/>
      <c r="G465" s="20"/>
      <c r="H465" s="20"/>
      <c r="I465" s="21">
        <v>77.884399999999999</v>
      </c>
      <c r="J465" s="22">
        <f>ROUND(I465*H465,2)</f>
        <v>0</v>
      </c>
      <c r="K465" s="23" t="e">
        <f>ROUND(G465/J465,4)</f>
        <v>#DIV/0!</v>
      </c>
      <c r="L465" s="24" t="e">
        <f>1-K465</f>
        <v>#DIV/0!</v>
      </c>
      <c r="M465" s="25" t="s">
        <v>2341</v>
      </c>
      <c r="N465" s="25" t="s">
        <v>2342</v>
      </c>
      <c r="O465" s="26" t="s">
        <v>2343</v>
      </c>
      <c r="P465" s="27" t="s">
        <v>68</v>
      </c>
      <c r="Q465" s="27" t="s">
        <v>25</v>
      </c>
      <c r="R465" s="21" t="s">
        <v>26</v>
      </c>
      <c r="S465" s="29">
        <v>405</v>
      </c>
      <c r="T465" s="1"/>
    </row>
    <row r="466" spans="1:34" x14ac:dyDescent="0.3">
      <c r="A466" s="16">
        <v>462</v>
      </c>
      <c r="B466" s="17" t="s">
        <v>2344</v>
      </c>
      <c r="C466" s="34" t="s">
        <v>2345</v>
      </c>
      <c r="D466" s="19">
        <v>46017</v>
      </c>
      <c r="E466" s="49"/>
      <c r="F466" s="49"/>
      <c r="G466" s="20"/>
      <c r="H466" s="20"/>
      <c r="I466" s="21">
        <v>77.884399999999999</v>
      </c>
      <c r="J466" s="22">
        <f>ROUND(I466*H466,2)</f>
        <v>0</v>
      </c>
      <c r="K466" s="23" t="e">
        <f>ROUND(G466/J466,4)</f>
        <v>#DIV/0!</v>
      </c>
      <c r="L466" s="24" t="e">
        <f>1-K466</f>
        <v>#DIV/0!</v>
      </c>
      <c r="M466" s="25" t="s">
        <v>2346</v>
      </c>
      <c r="N466" s="25" t="s">
        <v>2347</v>
      </c>
      <c r="O466" s="26" t="s">
        <v>2348</v>
      </c>
      <c r="P466" s="27" t="s">
        <v>1036</v>
      </c>
      <c r="Q466" s="27" t="s">
        <v>25</v>
      </c>
      <c r="R466" s="21" t="s">
        <v>26</v>
      </c>
      <c r="S466" s="29">
        <v>406</v>
      </c>
      <c r="T466" s="1"/>
    </row>
    <row r="467" spans="1:34" x14ac:dyDescent="0.3">
      <c r="A467" s="16">
        <v>463</v>
      </c>
      <c r="B467" s="17" t="s">
        <v>2349</v>
      </c>
      <c r="C467" s="18" t="s">
        <v>2350</v>
      </c>
      <c r="D467" s="19">
        <v>46017</v>
      </c>
      <c r="E467" s="49"/>
      <c r="F467" s="49"/>
      <c r="G467" s="20"/>
      <c r="H467" s="20"/>
      <c r="I467" s="21">
        <v>77.884399999999999</v>
      </c>
      <c r="J467" s="22">
        <f>ROUND(I467*H467,2)</f>
        <v>0</v>
      </c>
      <c r="K467" s="23" t="e">
        <f>ROUND(G467/J467,4)</f>
        <v>#DIV/0!</v>
      </c>
      <c r="L467" s="24" t="e">
        <f>1-K467</f>
        <v>#DIV/0!</v>
      </c>
      <c r="M467" s="25" t="s">
        <v>2351</v>
      </c>
      <c r="N467" s="25" t="s">
        <v>2352</v>
      </c>
      <c r="O467" s="26" t="s">
        <v>2353</v>
      </c>
      <c r="P467" s="27" t="s">
        <v>250</v>
      </c>
      <c r="Q467" s="27" t="s">
        <v>25</v>
      </c>
      <c r="R467" s="21" t="s">
        <v>39</v>
      </c>
      <c r="S467" s="29">
        <v>407</v>
      </c>
      <c r="T467" s="1"/>
    </row>
    <row r="468" spans="1:34" x14ac:dyDescent="0.3">
      <c r="A468" s="16">
        <v>464</v>
      </c>
      <c r="B468" s="17" t="s">
        <v>2354</v>
      </c>
      <c r="C468" s="18" t="s">
        <v>2355</v>
      </c>
      <c r="D468" s="19">
        <v>46017</v>
      </c>
      <c r="E468" s="49"/>
      <c r="F468" s="49"/>
      <c r="G468" s="20"/>
      <c r="H468" s="20"/>
      <c r="I468" s="21">
        <v>77.884399999999999</v>
      </c>
      <c r="J468" s="22">
        <f>ROUND(I468*H468,2)</f>
        <v>0</v>
      </c>
      <c r="K468" s="23" t="e">
        <f>ROUND(G468/J468,4)</f>
        <v>#DIV/0!</v>
      </c>
      <c r="L468" s="24" t="e">
        <f>1-K468</f>
        <v>#DIV/0!</v>
      </c>
      <c r="M468" s="25" t="s">
        <v>2356</v>
      </c>
      <c r="N468" s="25" t="s">
        <v>2357</v>
      </c>
      <c r="O468" s="26" t="s">
        <v>2358</v>
      </c>
      <c r="P468" s="27" t="s">
        <v>428</v>
      </c>
      <c r="Q468" s="27" t="s">
        <v>25</v>
      </c>
      <c r="R468" s="21" t="s">
        <v>39</v>
      </c>
      <c r="S468" s="29">
        <v>408</v>
      </c>
      <c r="T468" s="1"/>
    </row>
    <row r="469" spans="1:34" x14ac:dyDescent="0.3">
      <c r="A469" s="16">
        <v>465</v>
      </c>
      <c r="B469" s="17" t="s">
        <v>2359</v>
      </c>
      <c r="C469" s="18" t="s">
        <v>2360</v>
      </c>
      <c r="D469" s="19">
        <v>46017</v>
      </c>
      <c r="E469" s="49"/>
      <c r="F469" s="49"/>
      <c r="G469" s="20"/>
      <c r="H469" s="20"/>
      <c r="I469" s="21">
        <v>77.884399999999999</v>
      </c>
      <c r="J469" s="22">
        <f>ROUND(I469*H469,2)</f>
        <v>0</v>
      </c>
      <c r="K469" s="23" t="e">
        <f>ROUND(G469/J469,4)</f>
        <v>#DIV/0!</v>
      </c>
      <c r="L469" s="24" t="e">
        <f>1-K469</f>
        <v>#DIV/0!</v>
      </c>
      <c r="M469" s="25" t="s">
        <v>2361</v>
      </c>
      <c r="N469" s="25" t="s">
        <v>2362</v>
      </c>
      <c r="O469" s="26" t="s">
        <v>2363</v>
      </c>
      <c r="P469" s="27" t="s">
        <v>174</v>
      </c>
      <c r="Q469" s="27" t="s">
        <v>25</v>
      </c>
      <c r="R469" s="21" t="s">
        <v>26</v>
      </c>
      <c r="S469" s="29">
        <v>409</v>
      </c>
      <c r="T469" s="1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 spans="1:34" x14ac:dyDescent="0.3">
      <c r="A470" s="31">
        <v>466</v>
      </c>
      <c r="B470" s="26" t="s">
        <v>2364</v>
      </c>
      <c r="C470" s="27" t="s">
        <v>2365</v>
      </c>
      <c r="D470" s="19">
        <v>46017</v>
      </c>
      <c r="E470" s="49"/>
      <c r="F470" s="49"/>
      <c r="G470" s="20"/>
      <c r="H470" s="20"/>
      <c r="I470" s="21">
        <v>77.884399999999999</v>
      </c>
      <c r="J470" s="22">
        <f>ROUND(I470*H470,2)</f>
        <v>0</v>
      </c>
      <c r="K470" s="23" t="e">
        <f>ROUND(G470/J470,4)</f>
        <v>#DIV/0!</v>
      </c>
      <c r="L470" s="24" t="e">
        <f>1-K470</f>
        <v>#DIV/0!</v>
      </c>
      <c r="M470" s="25"/>
      <c r="N470" s="25"/>
      <c r="O470" s="26" t="s">
        <v>2366</v>
      </c>
      <c r="P470" s="27" t="s">
        <v>2367</v>
      </c>
      <c r="Q470" s="27" t="s">
        <v>25</v>
      </c>
      <c r="R470" s="64" t="s">
        <v>39</v>
      </c>
      <c r="S470" s="29"/>
      <c r="T470" s="1"/>
    </row>
    <row r="471" spans="1:34" x14ac:dyDescent="0.3">
      <c r="A471" s="16">
        <v>467</v>
      </c>
      <c r="B471" s="17" t="s">
        <v>2368</v>
      </c>
      <c r="C471" s="18" t="s">
        <v>2369</v>
      </c>
      <c r="D471" s="19">
        <v>46017</v>
      </c>
      <c r="E471" s="49"/>
      <c r="F471" s="49"/>
      <c r="G471" s="20"/>
      <c r="H471" s="20"/>
      <c r="I471" s="21">
        <v>77.884399999999999</v>
      </c>
      <c r="J471" s="22">
        <f>ROUND(I471*H471,2)</f>
        <v>0</v>
      </c>
      <c r="K471" s="23" t="e">
        <f>ROUND(G471/J471,4)</f>
        <v>#DIV/0!</v>
      </c>
      <c r="L471" s="24" t="e">
        <f>1-K471</f>
        <v>#DIV/0!</v>
      </c>
      <c r="M471" s="25" t="s">
        <v>2370</v>
      </c>
      <c r="N471" s="25" t="s">
        <v>2371</v>
      </c>
      <c r="O471" s="26" t="s">
        <v>2372</v>
      </c>
      <c r="P471" s="27" t="s">
        <v>856</v>
      </c>
      <c r="Q471" s="27" t="s">
        <v>25</v>
      </c>
      <c r="R471" s="21" t="s">
        <v>26</v>
      </c>
      <c r="S471" s="29">
        <v>410</v>
      </c>
      <c r="T471" s="1"/>
    </row>
    <row r="472" spans="1:34" x14ac:dyDescent="0.3">
      <c r="A472" s="31">
        <v>468</v>
      </c>
      <c r="B472" s="32" t="s">
        <v>2373</v>
      </c>
      <c r="C472" s="33" t="s">
        <v>2374</v>
      </c>
      <c r="D472" s="19">
        <v>46017</v>
      </c>
      <c r="E472" s="49"/>
      <c r="F472" s="49"/>
      <c r="G472" s="20"/>
      <c r="H472" s="20"/>
      <c r="I472" s="21">
        <v>77.884399999999999</v>
      </c>
      <c r="J472" s="22">
        <f>ROUND(I472*H472,2)</f>
        <v>0</v>
      </c>
      <c r="K472" s="23" t="e">
        <f>ROUND(G472/J472,4)</f>
        <v>#DIV/0!</v>
      </c>
      <c r="L472" s="24" t="e">
        <f>1-K472</f>
        <v>#DIV/0!</v>
      </c>
      <c r="M472" s="25" t="s">
        <v>2375</v>
      </c>
      <c r="N472" s="25" t="s">
        <v>2376</v>
      </c>
      <c r="O472" s="26" t="s">
        <v>2377</v>
      </c>
      <c r="P472" s="27" t="s">
        <v>2378</v>
      </c>
      <c r="Q472" s="27" t="s">
        <v>25</v>
      </c>
      <c r="R472" s="21" t="s">
        <v>39</v>
      </c>
      <c r="S472" s="29">
        <v>411</v>
      </c>
      <c r="T472" s="1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 spans="1:34" x14ac:dyDescent="0.3">
      <c r="A473" s="31">
        <v>469</v>
      </c>
      <c r="B473" s="32" t="s">
        <v>2379</v>
      </c>
      <c r="C473" s="33" t="s">
        <v>2380</v>
      </c>
      <c r="D473" s="19">
        <v>46017</v>
      </c>
      <c r="E473" s="49"/>
      <c r="F473" s="49"/>
      <c r="G473" s="20"/>
      <c r="H473" s="20"/>
      <c r="I473" s="21">
        <v>77.884399999999999</v>
      </c>
      <c r="J473" s="22">
        <f>ROUND(I473*H473,2)</f>
        <v>0</v>
      </c>
      <c r="K473" s="23" t="e">
        <f>ROUND(G473/J473,4)</f>
        <v>#DIV/0!</v>
      </c>
      <c r="L473" s="24" t="e">
        <f>1-K473</f>
        <v>#DIV/0!</v>
      </c>
      <c r="M473" s="25" t="s">
        <v>2381</v>
      </c>
      <c r="N473" s="25" t="s">
        <v>2382</v>
      </c>
      <c r="O473" s="26" t="s">
        <v>2383</v>
      </c>
      <c r="P473" s="27" t="s">
        <v>2384</v>
      </c>
      <c r="Q473" s="27" t="s">
        <v>25</v>
      </c>
      <c r="R473" s="21" t="s">
        <v>26</v>
      </c>
      <c r="S473" s="29">
        <v>412</v>
      </c>
      <c r="T473" s="1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 spans="1:34" x14ac:dyDescent="0.3">
      <c r="A474" s="16">
        <v>470</v>
      </c>
      <c r="B474" s="17" t="s">
        <v>2385</v>
      </c>
      <c r="C474" s="18" t="s">
        <v>2386</v>
      </c>
      <c r="D474" s="19">
        <v>46017</v>
      </c>
      <c r="E474" s="49"/>
      <c r="F474" s="49"/>
      <c r="G474" s="20"/>
      <c r="H474" s="20"/>
      <c r="I474" s="21">
        <v>77.884399999999999</v>
      </c>
      <c r="J474" s="22">
        <f>ROUND(I474*H474,2)</f>
        <v>0</v>
      </c>
      <c r="K474" s="23" t="e">
        <f>ROUND(G474/J474,4)</f>
        <v>#DIV/0!</v>
      </c>
      <c r="L474" s="24" t="e">
        <f>1-K474</f>
        <v>#DIV/0!</v>
      </c>
      <c r="M474" s="25" t="s">
        <v>2387</v>
      </c>
      <c r="N474" s="25" t="s">
        <v>2388</v>
      </c>
      <c r="O474" s="26" t="s">
        <v>2389</v>
      </c>
      <c r="P474" s="27" t="s">
        <v>1996</v>
      </c>
      <c r="Q474" s="27" t="s">
        <v>25</v>
      </c>
      <c r="R474" s="64" t="s">
        <v>39</v>
      </c>
      <c r="S474" s="29">
        <v>413</v>
      </c>
      <c r="T474" s="1"/>
    </row>
    <row r="475" spans="1:34" x14ac:dyDescent="0.3">
      <c r="A475" s="31">
        <v>471</v>
      </c>
      <c r="B475" s="32" t="s">
        <v>2390</v>
      </c>
      <c r="C475" s="33" t="s">
        <v>2391</v>
      </c>
      <c r="D475" s="19">
        <v>46017</v>
      </c>
      <c r="E475" s="49"/>
      <c r="F475" s="49"/>
      <c r="G475" s="20"/>
      <c r="H475" s="20"/>
      <c r="I475" s="21">
        <v>77.884399999999999</v>
      </c>
      <c r="J475" s="22">
        <f>ROUND(I475*H475,2)</f>
        <v>0</v>
      </c>
      <c r="K475" s="23" t="e">
        <f>ROUND(G475/J475,4)</f>
        <v>#DIV/0!</v>
      </c>
      <c r="L475" s="24" t="e">
        <f>1-K475</f>
        <v>#DIV/0!</v>
      </c>
      <c r="M475" s="25" t="s">
        <v>2392</v>
      </c>
      <c r="N475" s="25" t="s">
        <v>2393</v>
      </c>
      <c r="O475" s="52" t="s">
        <v>2394</v>
      </c>
      <c r="P475" s="53" t="s">
        <v>319</v>
      </c>
      <c r="Q475" s="53" t="s">
        <v>25</v>
      </c>
      <c r="R475" s="21" t="s">
        <v>39</v>
      </c>
      <c r="S475" s="29">
        <v>414</v>
      </c>
      <c r="T475" s="1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 spans="1:34" x14ac:dyDescent="0.3">
      <c r="A476" s="16">
        <v>472</v>
      </c>
      <c r="B476" s="17" t="s">
        <v>2395</v>
      </c>
      <c r="C476" s="18" t="s">
        <v>2396</v>
      </c>
      <c r="D476" s="19">
        <v>46017</v>
      </c>
      <c r="E476" s="49"/>
      <c r="F476" s="49"/>
      <c r="G476" s="20"/>
      <c r="H476" s="20"/>
      <c r="I476" s="21">
        <v>77.884399999999999</v>
      </c>
      <c r="J476" s="22">
        <f>ROUND(I476*H476,2)</f>
        <v>0</v>
      </c>
      <c r="K476" s="23" t="e">
        <f>ROUND(G476/J476,4)</f>
        <v>#DIV/0!</v>
      </c>
      <c r="L476" s="24" t="e">
        <f>1-K476</f>
        <v>#DIV/0!</v>
      </c>
      <c r="M476" s="25" t="s">
        <v>2397</v>
      </c>
      <c r="N476" s="25" t="s">
        <v>2398</v>
      </c>
      <c r="O476" s="26" t="s">
        <v>2399</v>
      </c>
      <c r="P476" s="27" t="s">
        <v>174</v>
      </c>
      <c r="Q476" s="27" t="s">
        <v>25</v>
      </c>
      <c r="R476" s="67" t="s">
        <v>39</v>
      </c>
      <c r="S476" s="29">
        <v>415</v>
      </c>
      <c r="T476" s="1"/>
    </row>
    <row r="477" spans="1:34" x14ac:dyDescent="0.3">
      <c r="A477" s="16">
        <v>473</v>
      </c>
      <c r="B477" s="17" t="s">
        <v>2400</v>
      </c>
      <c r="C477" s="18" t="s">
        <v>2401</v>
      </c>
      <c r="D477" s="19">
        <v>46017</v>
      </c>
      <c r="E477" s="49"/>
      <c r="F477" s="49"/>
      <c r="G477" s="20"/>
      <c r="H477" s="20"/>
      <c r="I477" s="21">
        <v>77.884399999999999</v>
      </c>
      <c r="J477" s="22">
        <f>ROUND(I477*H477,2)</f>
        <v>0</v>
      </c>
      <c r="K477" s="23" t="e">
        <f>ROUND(G477/J477,4)</f>
        <v>#DIV/0!</v>
      </c>
      <c r="L477" s="24" t="e">
        <f>1-K477</f>
        <v>#DIV/0!</v>
      </c>
      <c r="M477" s="25" t="s">
        <v>2402</v>
      </c>
      <c r="N477" s="25" t="s">
        <v>2403</v>
      </c>
      <c r="O477" s="26" t="s">
        <v>2404</v>
      </c>
      <c r="P477" s="27" t="s">
        <v>434</v>
      </c>
      <c r="Q477" s="27" t="s">
        <v>25</v>
      </c>
      <c r="R477" s="21" t="s">
        <v>26</v>
      </c>
      <c r="S477" s="29">
        <v>416</v>
      </c>
      <c r="T477" s="1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 spans="1:34" x14ac:dyDescent="0.3">
      <c r="A478" s="31">
        <v>474</v>
      </c>
      <c r="B478" s="26" t="s">
        <v>2405</v>
      </c>
      <c r="C478" s="27" t="s">
        <v>2406</v>
      </c>
      <c r="D478" s="19">
        <v>46017</v>
      </c>
      <c r="E478" s="49"/>
      <c r="F478" s="49"/>
      <c r="G478" s="20"/>
      <c r="H478" s="20"/>
      <c r="I478" s="21">
        <v>77.884399999999999</v>
      </c>
      <c r="J478" s="22">
        <f>ROUND(I478*H478,2)</f>
        <v>0</v>
      </c>
      <c r="K478" s="23" t="e">
        <f>ROUND(G478/J478,4)</f>
        <v>#DIV/0!</v>
      </c>
      <c r="L478" s="24" t="e">
        <f>1-K478</f>
        <v>#DIV/0!</v>
      </c>
      <c r="M478" s="25"/>
      <c r="N478" s="25"/>
      <c r="O478" s="26" t="s">
        <v>2407</v>
      </c>
      <c r="P478" s="27" t="s">
        <v>2408</v>
      </c>
      <c r="Q478" s="27" t="s">
        <v>25</v>
      </c>
      <c r="R478" s="21" t="s">
        <v>26</v>
      </c>
      <c r="S478" s="29"/>
      <c r="T478" s="1"/>
    </row>
    <row r="479" spans="1:34" x14ac:dyDescent="0.3">
      <c r="A479" s="16">
        <v>475</v>
      </c>
      <c r="B479" s="17" t="s">
        <v>2409</v>
      </c>
      <c r="C479" s="18" t="s">
        <v>2410</v>
      </c>
      <c r="D479" s="19">
        <v>46017</v>
      </c>
      <c r="E479" s="49"/>
      <c r="F479" s="49"/>
      <c r="G479" s="20"/>
      <c r="H479" s="20"/>
      <c r="I479" s="21">
        <v>77.884399999999999</v>
      </c>
      <c r="J479" s="22">
        <f>ROUND(I479*H479,2)</f>
        <v>0</v>
      </c>
      <c r="K479" s="23" t="e">
        <f>ROUND(G479/J479,4)</f>
        <v>#DIV/0!</v>
      </c>
      <c r="L479" s="24" t="e">
        <f>1-K479</f>
        <v>#DIV/0!</v>
      </c>
      <c r="M479" s="25" t="s">
        <v>2411</v>
      </c>
      <c r="N479" s="25" t="s">
        <v>2412</v>
      </c>
      <c r="O479" s="26" t="s">
        <v>2413</v>
      </c>
      <c r="P479" s="27" t="s">
        <v>32</v>
      </c>
      <c r="Q479" s="27" t="s">
        <v>25</v>
      </c>
      <c r="R479" s="21" t="s">
        <v>26</v>
      </c>
      <c r="S479" s="29">
        <v>417</v>
      </c>
      <c r="T479" s="1"/>
    </row>
    <row r="480" spans="1:34" x14ac:dyDescent="0.3">
      <c r="A480" s="16">
        <v>476</v>
      </c>
      <c r="B480" s="17" t="s">
        <v>2414</v>
      </c>
      <c r="C480" s="34" t="s">
        <v>2415</v>
      </c>
      <c r="D480" s="19">
        <v>46017</v>
      </c>
      <c r="E480" s="49"/>
      <c r="F480" s="49"/>
      <c r="G480" s="20"/>
      <c r="H480" s="20"/>
      <c r="I480" s="21">
        <v>77.884399999999999</v>
      </c>
      <c r="J480" s="22">
        <f>ROUND(I480*H480,2)</f>
        <v>0</v>
      </c>
      <c r="K480" s="23" t="e">
        <f>ROUND(G480/J480,4)</f>
        <v>#DIV/0!</v>
      </c>
      <c r="L480" s="24" t="e">
        <f>1-K480</f>
        <v>#DIV/0!</v>
      </c>
      <c r="M480" s="25" t="s">
        <v>2416</v>
      </c>
      <c r="N480" s="25" t="s">
        <v>2417</v>
      </c>
      <c r="O480" s="26" t="s">
        <v>2418</v>
      </c>
      <c r="P480" s="27" t="s">
        <v>628</v>
      </c>
      <c r="Q480" s="27" t="s">
        <v>25</v>
      </c>
      <c r="R480" s="21" t="s">
        <v>26</v>
      </c>
      <c r="S480" s="29">
        <v>418</v>
      </c>
      <c r="T480" s="1"/>
    </row>
    <row r="481" spans="1:34" x14ac:dyDescent="0.3">
      <c r="A481" s="31">
        <v>477</v>
      </c>
      <c r="B481" s="26" t="s">
        <v>2419</v>
      </c>
      <c r="C481" s="27" t="s">
        <v>2420</v>
      </c>
      <c r="D481" s="19">
        <v>46017</v>
      </c>
      <c r="E481" s="49"/>
      <c r="F481" s="49"/>
      <c r="G481" s="20"/>
      <c r="H481" s="20"/>
      <c r="I481" s="21">
        <v>77.884399999999999</v>
      </c>
      <c r="J481" s="22">
        <f>ROUND(I481*H481,2)</f>
        <v>0</v>
      </c>
      <c r="K481" s="23" t="e">
        <f>ROUND(G481/J481,4)</f>
        <v>#DIV/0!</v>
      </c>
      <c r="L481" s="24" t="e">
        <f>1-K481</f>
        <v>#DIV/0!</v>
      </c>
      <c r="M481" s="25"/>
      <c r="N481" s="25"/>
      <c r="O481" s="26" t="s">
        <v>2421</v>
      </c>
      <c r="P481" s="27" t="s">
        <v>1803</v>
      </c>
      <c r="Q481" s="27" t="s">
        <v>25</v>
      </c>
      <c r="R481" s="21" t="s">
        <v>39</v>
      </c>
      <c r="S481" s="29"/>
      <c r="T481" s="1"/>
    </row>
    <row r="482" spans="1:34" x14ac:dyDescent="0.3">
      <c r="A482" s="16">
        <v>478</v>
      </c>
      <c r="B482" s="17" t="s">
        <v>2422</v>
      </c>
      <c r="C482" s="18" t="s">
        <v>2423</v>
      </c>
      <c r="D482" s="19">
        <v>46017</v>
      </c>
      <c r="E482" s="49"/>
      <c r="F482" s="49"/>
      <c r="G482" s="20"/>
      <c r="H482" s="20"/>
      <c r="I482" s="21">
        <v>77.884399999999999</v>
      </c>
      <c r="J482" s="22">
        <f>ROUND(I482*H482,2)</f>
        <v>0</v>
      </c>
      <c r="K482" s="23" t="e">
        <f>ROUND(G482/J482,4)</f>
        <v>#DIV/0!</v>
      </c>
      <c r="L482" s="24" t="e">
        <f>1-K482</f>
        <v>#DIV/0!</v>
      </c>
      <c r="M482" s="25" t="s">
        <v>2424</v>
      </c>
      <c r="N482" s="25" t="s">
        <v>2425</v>
      </c>
      <c r="O482" s="26" t="s">
        <v>2426</v>
      </c>
      <c r="P482" s="27" t="s">
        <v>308</v>
      </c>
      <c r="Q482" s="27" t="s">
        <v>25</v>
      </c>
      <c r="R482" s="21" t="s">
        <v>26</v>
      </c>
      <c r="S482" s="29">
        <v>419</v>
      </c>
      <c r="T482" s="1"/>
    </row>
    <row r="483" spans="1:34" x14ac:dyDescent="0.3">
      <c r="A483" s="16">
        <v>479</v>
      </c>
      <c r="B483" s="17" t="s">
        <v>2427</v>
      </c>
      <c r="C483" s="34" t="s">
        <v>2428</v>
      </c>
      <c r="D483" s="19">
        <v>46017</v>
      </c>
      <c r="E483" s="49"/>
      <c r="F483" s="49"/>
      <c r="G483" s="20"/>
      <c r="H483" s="20"/>
      <c r="I483" s="21">
        <v>77.884399999999999</v>
      </c>
      <c r="J483" s="22">
        <f>ROUND(I483*H483,2)</f>
        <v>0</v>
      </c>
      <c r="K483" s="23" t="e">
        <f>ROUND(G483/J483,4)</f>
        <v>#DIV/0!</v>
      </c>
      <c r="L483" s="24" t="e">
        <f>1-K483</f>
        <v>#DIV/0!</v>
      </c>
      <c r="M483" s="25" t="s">
        <v>2429</v>
      </c>
      <c r="N483" s="25" t="s">
        <v>2430</v>
      </c>
      <c r="O483" s="26" t="s">
        <v>2431</v>
      </c>
      <c r="P483" s="27" t="s">
        <v>903</v>
      </c>
      <c r="Q483" s="27" t="s">
        <v>25</v>
      </c>
      <c r="R483" s="21" t="s">
        <v>39</v>
      </c>
      <c r="S483" s="29">
        <v>420</v>
      </c>
      <c r="T483" s="1"/>
    </row>
    <row r="484" spans="1:34" x14ac:dyDescent="0.3">
      <c r="A484" s="31">
        <v>480</v>
      </c>
      <c r="B484" s="32" t="s">
        <v>2432</v>
      </c>
      <c r="C484" s="33" t="s">
        <v>2433</v>
      </c>
      <c r="D484" s="19">
        <v>46017</v>
      </c>
      <c r="E484" s="49"/>
      <c r="F484" s="49"/>
      <c r="G484" s="20"/>
      <c r="H484" s="20"/>
      <c r="I484" s="21">
        <v>77.884399999999999</v>
      </c>
      <c r="J484" s="22">
        <f>ROUND(I484*H484,2)</f>
        <v>0</v>
      </c>
      <c r="K484" s="23" t="e">
        <f>ROUND(G484/J484,4)</f>
        <v>#DIV/0!</v>
      </c>
      <c r="L484" s="24" t="e">
        <f>1-K484</f>
        <v>#DIV/0!</v>
      </c>
      <c r="M484" s="25" t="s">
        <v>2434</v>
      </c>
      <c r="N484" s="25" t="s">
        <v>2435</v>
      </c>
      <c r="O484" s="26" t="s">
        <v>2436</v>
      </c>
      <c r="P484" s="27" t="s">
        <v>2437</v>
      </c>
      <c r="Q484" s="27" t="s">
        <v>25</v>
      </c>
      <c r="R484" s="21" t="s">
        <v>39</v>
      </c>
      <c r="S484" s="29">
        <v>421</v>
      </c>
      <c r="T484" s="1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 spans="1:34" x14ac:dyDescent="0.3">
      <c r="A485" s="31">
        <v>481</v>
      </c>
      <c r="B485" s="32" t="s">
        <v>2438</v>
      </c>
      <c r="C485" s="33" t="s">
        <v>2439</v>
      </c>
      <c r="D485" s="19">
        <v>46017</v>
      </c>
      <c r="E485" s="49"/>
      <c r="F485" s="49"/>
      <c r="G485" s="20"/>
      <c r="H485" s="20"/>
      <c r="I485" s="21">
        <v>77.884399999999999</v>
      </c>
      <c r="J485" s="22">
        <f>ROUND(I485*H485,2)</f>
        <v>0</v>
      </c>
      <c r="K485" s="23" t="e">
        <f>ROUND(G485/J485,4)</f>
        <v>#DIV/0!</v>
      </c>
      <c r="L485" s="24" t="e">
        <f>1-K485</f>
        <v>#DIV/0!</v>
      </c>
      <c r="M485" s="25" t="s">
        <v>2440</v>
      </c>
      <c r="N485" s="25" t="s">
        <v>2441</v>
      </c>
      <c r="O485" s="26" t="s">
        <v>2442</v>
      </c>
      <c r="P485" s="27" t="s">
        <v>107</v>
      </c>
      <c r="Q485" s="27" t="s">
        <v>25</v>
      </c>
      <c r="R485" s="64" t="s">
        <v>39</v>
      </c>
      <c r="S485" s="29">
        <v>422</v>
      </c>
      <c r="T485" s="1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 spans="1:34" x14ac:dyDescent="0.3">
      <c r="A486" s="16">
        <v>482</v>
      </c>
      <c r="B486" s="17" t="s">
        <v>2443</v>
      </c>
      <c r="C486" s="18" t="s">
        <v>2444</v>
      </c>
      <c r="D486" s="19">
        <v>46017</v>
      </c>
      <c r="E486" s="49"/>
      <c r="F486" s="49"/>
      <c r="G486" s="20"/>
      <c r="H486" s="20"/>
      <c r="I486" s="21">
        <v>77.884399999999999</v>
      </c>
      <c r="J486" s="22">
        <f>ROUND(I486*H486,2)</f>
        <v>0</v>
      </c>
      <c r="K486" s="23" t="e">
        <f>ROUND(G486/J486,4)</f>
        <v>#DIV/0!</v>
      </c>
      <c r="L486" s="24" t="e">
        <f>1-K486</f>
        <v>#DIV/0!</v>
      </c>
      <c r="M486" s="25" t="s">
        <v>2445</v>
      </c>
      <c r="N486" s="25" t="s">
        <v>2446</v>
      </c>
      <c r="O486" s="26" t="s">
        <v>2447</v>
      </c>
      <c r="P486" s="27" t="s">
        <v>74</v>
      </c>
      <c r="Q486" s="27" t="s">
        <v>25</v>
      </c>
      <c r="R486" s="21" t="s">
        <v>39</v>
      </c>
      <c r="S486" s="29">
        <v>423</v>
      </c>
      <c r="T486" s="1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 spans="1:34" x14ac:dyDescent="0.3">
      <c r="A487" s="16">
        <v>483</v>
      </c>
      <c r="B487" s="17" t="s">
        <v>2448</v>
      </c>
      <c r="C487" s="18" t="s">
        <v>2449</v>
      </c>
      <c r="D487" s="19">
        <v>46017</v>
      </c>
      <c r="E487" s="49"/>
      <c r="F487" s="49"/>
      <c r="G487" s="20"/>
      <c r="H487" s="20"/>
      <c r="I487" s="21">
        <v>77.884399999999999</v>
      </c>
      <c r="J487" s="22">
        <f>ROUND(I487*H487,2)</f>
        <v>0</v>
      </c>
      <c r="K487" s="23" t="e">
        <f>ROUND(G487/J487,4)</f>
        <v>#DIV/0!</v>
      </c>
      <c r="L487" s="24" t="e">
        <f>1-K487</f>
        <v>#DIV/0!</v>
      </c>
      <c r="M487" s="25" t="s">
        <v>2450</v>
      </c>
      <c r="N487" s="25" t="s">
        <v>2451</v>
      </c>
      <c r="O487" s="26" t="s">
        <v>2452</v>
      </c>
      <c r="P487" s="27" t="s">
        <v>68</v>
      </c>
      <c r="Q487" s="27" t="s">
        <v>25</v>
      </c>
      <c r="R487" s="64" t="s">
        <v>26</v>
      </c>
      <c r="S487" s="29">
        <v>424</v>
      </c>
      <c r="T487" s="1"/>
    </row>
    <row r="488" spans="1:34" x14ac:dyDescent="0.3">
      <c r="A488" s="16">
        <v>484</v>
      </c>
      <c r="B488" s="17" t="s">
        <v>2453</v>
      </c>
      <c r="C488" s="18" t="s">
        <v>2454</v>
      </c>
      <c r="D488" s="19">
        <v>46017</v>
      </c>
      <c r="E488" s="49"/>
      <c r="F488" s="49"/>
      <c r="G488" s="20"/>
      <c r="H488" s="20"/>
      <c r="I488" s="21">
        <v>77.884399999999999</v>
      </c>
      <c r="J488" s="22">
        <f>ROUND(I488*H488,2)</f>
        <v>0</v>
      </c>
      <c r="K488" s="23" t="e">
        <f>ROUND(G488/J488,4)</f>
        <v>#DIV/0!</v>
      </c>
      <c r="L488" s="24" t="e">
        <f>1-K488</f>
        <v>#DIV/0!</v>
      </c>
      <c r="M488" s="25" t="s">
        <v>2455</v>
      </c>
      <c r="N488" s="25" t="s">
        <v>2456</v>
      </c>
      <c r="O488" s="26" t="s">
        <v>2457</v>
      </c>
      <c r="P488" s="27" t="s">
        <v>24</v>
      </c>
      <c r="Q488" s="27" t="s">
        <v>25</v>
      </c>
      <c r="R488" s="21" t="s">
        <v>39</v>
      </c>
      <c r="S488" s="29">
        <v>425</v>
      </c>
      <c r="T488" s="1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 spans="1:34" x14ac:dyDescent="0.3">
      <c r="A489" s="16">
        <v>485</v>
      </c>
      <c r="B489" s="17" t="s">
        <v>2458</v>
      </c>
      <c r="C489" s="18" t="s">
        <v>2459</v>
      </c>
      <c r="D489" s="19">
        <v>46017</v>
      </c>
      <c r="E489" s="49"/>
      <c r="F489" s="49"/>
      <c r="G489" s="20"/>
      <c r="H489" s="20"/>
      <c r="I489" s="21">
        <v>77.884399999999999</v>
      </c>
      <c r="J489" s="22">
        <f>ROUND(I489*H489,2)</f>
        <v>0</v>
      </c>
      <c r="K489" s="23" t="e">
        <f>ROUND(G489/J489,4)</f>
        <v>#DIV/0!</v>
      </c>
      <c r="L489" s="24" t="e">
        <f>1-K489</f>
        <v>#DIV/0!</v>
      </c>
      <c r="M489" s="25" t="s">
        <v>2460</v>
      </c>
      <c r="N489" s="25" t="s">
        <v>2461</v>
      </c>
      <c r="O489" s="26" t="s">
        <v>2462</v>
      </c>
      <c r="P489" s="27" t="s">
        <v>502</v>
      </c>
      <c r="Q489" s="27" t="s">
        <v>25</v>
      </c>
      <c r="R489" s="21" t="s">
        <v>26</v>
      </c>
      <c r="S489" s="29">
        <v>426</v>
      </c>
      <c r="T489" s="1"/>
    </row>
    <row r="490" spans="1:34" x14ac:dyDescent="0.3">
      <c r="A490" s="16">
        <v>486</v>
      </c>
      <c r="B490" s="17" t="s">
        <v>2463</v>
      </c>
      <c r="C490" s="18" t="s">
        <v>2464</v>
      </c>
      <c r="D490" s="19">
        <v>46017</v>
      </c>
      <c r="E490" s="49"/>
      <c r="F490" s="49"/>
      <c r="G490" s="20"/>
      <c r="H490" s="20"/>
      <c r="I490" s="21">
        <v>77.884399999999999</v>
      </c>
      <c r="J490" s="22">
        <f>ROUND(I490*H490,2)</f>
        <v>0</v>
      </c>
      <c r="K490" s="23" t="e">
        <f>ROUND(G490/J490,4)</f>
        <v>#DIV/0!</v>
      </c>
      <c r="L490" s="24" t="e">
        <f>1-K490</f>
        <v>#DIV/0!</v>
      </c>
      <c r="M490" s="25" t="s">
        <v>2465</v>
      </c>
      <c r="N490" s="25" t="s">
        <v>2466</v>
      </c>
      <c r="O490" s="26" t="s">
        <v>2467</v>
      </c>
      <c r="P490" s="27" t="s">
        <v>319</v>
      </c>
      <c r="Q490" s="27" t="s">
        <v>25</v>
      </c>
      <c r="R490" s="21" t="s">
        <v>39</v>
      </c>
      <c r="S490" s="29">
        <v>427</v>
      </c>
      <c r="T490" s="1"/>
    </row>
    <row r="491" spans="1:34" x14ac:dyDescent="0.3">
      <c r="A491" s="16">
        <v>487</v>
      </c>
      <c r="B491" s="17" t="s">
        <v>2468</v>
      </c>
      <c r="C491" s="18" t="s">
        <v>2469</v>
      </c>
      <c r="D491" s="19">
        <v>46017</v>
      </c>
      <c r="E491" s="49"/>
      <c r="F491" s="49"/>
      <c r="G491" s="20"/>
      <c r="H491" s="20"/>
      <c r="I491" s="21">
        <v>77.884399999999999</v>
      </c>
      <c r="J491" s="22">
        <f>ROUND(I491*H491,2)</f>
        <v>0</v>
      </c>
      <c r="K491" s="23" t="e">
        <f>ROUND(G491/J491,4)</f>
        <v>#DIV/0!</v>
      </c>
      <c r="L491" s="24" t="e">
        <f>1-K491</f>
        <v>#DIV/0!</v>
      </c>
      <c r="M491" s="25" t="s">
        <v>2470</v>
      </c>
      <c r="N491" s="25" t="s">
        <v>2471</v>
      </c>
      <c r="O491" s="26" t="s">
        <v>2472</v>
      </c>
      <c r="P491" s="27" t="s">
        <v>580</v>
      </c>
      <c r="Q491" s="27" t="s">
        <v>25</v>
      </c>
      <c r="R491" s="64" t="s">
        <v>26</v>
      </c>
      <c r="S491" s="29">
        <v>428</v>
      </c>
      <c r="T491" s="1"/>
    </row>
    <row r="492" spans="1:34" x14ac:dyDescent="0.3">
      <c r="A492" s="16">
        <v>488</v>
      </c>
      <c r="B492" s="17" t="s">
        <v>2473</v>
      </c>
      <c r="C492" s="34" t="s">
        <v>2474</v>
      </c>
      <c r="D492" s="19">
        <v>46017</v>
      </c>
      <c r="E492" s="49"/>
      <c r="F492" s="49"/>
      <c r="G492" s="20"/>
      <c r="H492" s="20"/>
      <c r="I492" s="21">
        <v>77.884399999999999</v>
      </c>
      <c r="J492" s="22">
        <f>ROUND(I492*H492,2)</f>
        <v>0</v>
      </c>
      <c r="K492" s="23" t="e">
        <f>ROUND(G492/J492,4)</f>
        <v>#DIV/0!</v>
      </c>
      <c r="L492" s="24" t="e">
        <f>1-K492</f>
        <v>#DIV/0!</v>
      </c>
      <c r="M492" s="25" t="s">
        <v>2475</v>
      </c>
      <c r="N492" s="25" t="s">
        <v>2476</v>
      </c>
      <c r="O492" s="26" t="s">
        <v>2477</v>
      </c>
      <c r="P492" s="27" t="s">
        <v>434</v>
      </c>
      <c r="Q492" s="27" t="s">
        <v>25</v>
      </c>
      <c r="R492" s="64" t="s">
        <v>39</v>
      </c>
      <c r="S492" s="29">
        <v>429</v>
      </c>
      <c r="T492" s="1"/>
    </row>
    <row r="493" spans="1:34" x14ac:dyDescent="0.3">
      <c r="A493" s="16">
        <v>489</v>
      </c>
      <c r="B493" s="17" t="s">
        <v>2478</v>
      </c>
      <c r="C493" s="18" t="s">
        <v>2479</v>
      </c>
      <c r="D493" s="19">
        <v>46017</v>
      </c>
      <c r="E493" s="49"/>
      <c r="F493" s="49"/>
      <c r="G493" s="20"/>
      <c r="H493" s="20"/>
      <c r="I493" s="21">
        <v>77.884399999999999</v>
      </c>
      <c r="J493" s="22">
        <f>ROUND(I493*H493,2)</f>
        <v>0</v>
      </c>
      <c r="K493" s="23" t="e">
        <f>ROUND(G493/J493,4)</f>
        <v>#DIV/0!</v>
      </c>
      <c r="L493" s="24" t="e">
        <f>1-K493</f>
        <v>#DIV/0!</v>
      </c>
      <c r="M493" s="25" t="s">
        <v>2480</v>
      </c>
      <c r="N493" s="25" t="s">
        <v>2481</v>
      </c>
      <c r="O493" s="26" t="s">
        <v>2482</v>
      </c>
      <c r="P493" s="27" t="s">
        <v>32</v>
      </c>
      <c r="Q493" s="27" t="s">
        <v>25</v>
      </c>
      <c r="R493" s="21" t="s">
        <v>39</v>
      </c>
      <c r="S493" s="29">
        <v>430</v>
      </c>
      <c r="T493" s="1"/>
    </row>
    <row r="494" spans="1:34" x14ac:dyDescent="0.3">
      <c r="A494" s="16">
        <v>490</v>
      </c>
      <c r="B494" s="17" t="s">
        <v>2483</v>
      </c>
      <c r="C494" s="18" t="s">
        <v>2484</v>
      </c>
      <c r="D494" s="19">
        <v>46017</v>
      </c>
      <c r="E494" s="49"/>
      <c r="F494" s="49"/>
      <c r="G494" s="20"/>
      <c r="H494" s="20"/>
      <c r="I494" s="21">
        <v>77.884399999999999</v>
      </c>
      <c r="J494" s="22">
        <f>ROUND(I494*H494,2)</f>
        <v>0</v>
      </c>
      <c r="K494" s="23" t="e">
        <f>ROUND(G494/J494,4)</f>
        <v>#DIV/0!</v>
      </c>
      <c r="L494" s="24" t="e">
        <f>1-K494</f>
        <v>#DIV/0!</v>
      </c>
      <c r="M494" s="25" t="s">
        <v>2485</v>
      </c>
      <c r="N494" s="25" t="s">
        <v>2486</v>
      </c>
      <c r="O494" s="26" t="s">
        <v>2487</v>
      </c>
      <c r="P494" s="27" t="s">
        <v>32</v>
      </c>
      <c r="Q494" s="27" t="s">
        <v>25</v>
      </c>
      <c r="R494" s="64" t="s">
        <v>26</v>
      </c>
      <c r="S494" s="29">
        <v>431</v>
      </c>
      <c r="T494" s="1"/>
    </row>
    <row r="495" spans="1:34" x14ac:dyDescent="0.3">
      <c r="A495" s="31">
        <v>491</v>
      </c>
      <c r="B495" s="26" t="s">
        <v>3903</v>
      </c>
      <c r="C495" s="27" t="s">
        <v>3904</v>
      </c>
      <c r="D495" s="19">
        <v>46017</v>
      </c>
      <c r="E495" s="49"/>
      <c r="F495" s="49"/>
      <c r="G495" s="20"/>
      <c r="H495" s="20"/>
      <c r="I495" s="21">
        <v>77.884399999999999</v>
      </c>
      <c r="J495" s="22">
        <f>ROUND(I495*H495,2)</f>
        <v>0</v>
      </c>
      <c r="K495" s="23" t="e">
        <f>ROUND(G495/J495,4)</f>
        <v>#DIV/0!</v>
      </c>
      <c r="L495" s="24" t="e">
        <f>1-K495</f>
        <v>#DIV/0!</v>
      </c>
      <c r="M495" s="25"/>
      <c r="N495" s="37" t="s">
        <v>3905</v>
      </c>
      <c r="O495" s="26" t="s">
        <v>3906</v>
      </c>
      <c r="P495" s="27" t="s">
        <v>3907</v>
      </c>
      <c r="Q495" s="27" t="s">
        <v>25</v>
      </c>
      <c r="R495" s="21" t="s">
        <v>39</v>
      </c>
      <c r="S495" s="29">
        <v>432</v>
      </c>
      <c r="T495" s="1"/>
    </row>
    <row r="496" spans="1:34" x14ac:dyDescent="0.3">
      <c r="A496" s="16">
        <v>492</v>
      </c>
      <c r="B496" s="17" t="s">
        <v>2488</v>
      </c>
      <c r="C496" s="18" t="s">
        <v>2489</v>
      </c>
      <c r="D496" s="19">
        <v>46017</v>
      </c>
      <c r="E496" s="49"/>
      <c r="F496" s="49"/>
      <c r="G496" s="20"/>
      <c r="H496" s="20"/>
      <c r="I496" s="21">
        <v>77.884399999999999</v>
      </c>
      <c r="J496" s="22">
        <f>ROUND(I496*H496,2)</f>
        <v>0</v>
      </c>
      <c r="K496" s="23" t="e">
        <f>ROUND(G496/J496,4)</f>
        <v>#DIV/0!</v>
      </c>
      <c r="L496" s="24" t="e">
        <f>1-K496</f>
        <v>#DIV/0!</v>
      </c>
      <c r="M496" s="25" t="s">
        <v>2490</v>
      </c>
      <c r="N496" s="25" t="s">
        <v>2491</v>
      </c>
      <c r="O496" s="26" t="s">
        <v>2492</v>
      </c>
      <c r="P496" s="27" t="s">
        <v>38</v>
      </c>
      <c r="Q496" s="27" t="s">
        <v>25</v>
      </c>
      <c r="R496" s="21" t="s">
        <v>39</v>
      </c>
      <c r="S496" s="29">
        <v>433</v>
      </c>
      <c r="T496" s="1"/>
    </row>
    <row r="497" spans="1:34" x14ac:dyDescent="0.3">
      <c r="A497" s="16">
        <v>493</v>
      </c>
      <c r="B497" s="17" t="s">
        <v>2493</v>
      </c>
      <c r="C497" s="18" t="s">
        <v>2494</v>
      </c>
      <c r="D497" s="19">
        <v>46017</v>
      </c>
      <c r="E497" s="49"/>
      <c r="F497" s="49"/>
      <c r="G497" s="20"/>
      <c r="H497" s="20"/>
      <c r="I497" s="21">
        <v>77.884399999999999</v>
      </c>
      <c r="J497" s="22">
        <f>ROUND(I497*H497,2)</f>
        <v>0</v>
      </c>
      <c r="K497" s="23" t="e">
        <f>ROUND(G497/J497,4)</f>
        <v>#DIV/0!</v>
      </c>
      <c r="L497" s="24" t="e">
        <f>1-K497</f>
        <v>#DIV/0!</v>
      </c>
      <c r="M497" s="25" t="s">
        <v>2495</v>
      </c>
      <c r="N497" s="25" t="s">
        <v>2496</v>
      </c>
      <c r="O497" s="26" t="s">
        <v>2497</v>
      </c>
      <c r="P497" s="27" t="s">
        <v>38</v>
      </c>
      <c r="Q497" s="27" t="s">
        <v>25</v>
      </c>
      <c r="R497" s="21" t="s">
        <v>39</v>
      </c>
      <c r="S497" s="29">
        <v>434</v>
      </c>
      <c r="T497" s="1"/>
    </row>
    <row r="498" spans="1:34" x14ac:dyDescent="0.3">
      <c r="A498" s="16">
        <v>494</v>
      </c>
      <c r="B498" s="17" t="s">
        <v>2498</v>
      </c>
      <c r="C498" s="18" t="s">
        <v>2499</v>
      </c>
      <c r="D498" s="19">
        <v>46017</v>
      </c>
      <c r="E498" s="49"/>
      <c r="F498" s="49"/>
      <c r="G498" s="20"/>
      <c r="H498" s="20"/>
      <c r="I498" s="21">
        <v>77.884399999999999</v>
      </c>
      <c r="J498" s="22">
        <f>ROUND(I498*H498,2)</f>
        <v>0</v>
      </c>
      <c r="K498" s="23" t="e">
        <f>ROUND(G498/J498,4)</f>
        <v>#DIV/0!</v>
      </c>
      <c r="L498" s="24" t="e">
        <f>1-K498</f>
        <v>#DIV/0!</v>
      </c>
      <c r="M498" s="25" t="s">
        <v>2500</v>
      </c>
      <c r="N498" s="25" t="s">
        <v>2501</v>
      </c>
      <c r="O498" s="26" t="s">
        <v>2502</v>
      </c>
      <c r="P498" s="27" t="s">
        <v>32</v>
      </c>
      <c r="Q498" s="27" t="s">
        <v>25</v>
      </c>
      <c r="R498" s="21" t="s">
        <v>39</v>
      </c>
      <c r="S498" s="29">
        <v>435</v>
      </c>
      <c r="T498" s="1"/>
    </row>
    <row r="499" spans="1:34" x14ac:dyDescent="0.3">
      <c r="A499" s="31">
        <v>495</v>
      </c>
      <c r="B499" s="32" t="s">
        <v>2503</v>
      </c>
      <c r="C499" s="33" t="s">
        <v>2504</v>
      </c>
      <c r="D499" s="19">
        <v>46017</v>
      </c>
      <c r="E499" s="49"/>
      <c r="F499" s="49"/>
      <c r="G499" s="20"/>
      <c r="H499" s="20"/>
      <c r="I499" s="21">
        <v>77.884399999999999</v>
      </c>
      <c r="J499" s="22">
        <f>ROUND(I499*H499,2)</f>
        <v>0</v>
      </c>
      <c r="K499" s="23" t="e">
        <f>ROUND(G499/J499,4)</f>
        <v>#DIV/0!</v>
      </c>
      <c r="L499" s="24" t="e">
        <f>1-K499</f>
        <v>#DIV/0!</v>
      </c>
      <c r="M499" s="25" t="s">
        <v>2505</v>
      </c>
      <c r="N499" s="25" t="s">
        <v>2506</v>
      </c>
      <c r="O499" s="26" t="s">
        <v>2507</v>
      </c>
      <c r="P499" s="27" t="s">
        <v>2508</v>
      </c>
      <c r="Q499" s="27" t="s">
        <v>25</v>
      </c>
      <c r="R499" s="21" t="s">
        <v>39</v>
      </c>
      <c r="S499" s="29">
        <v>436</v>
      </c>
      <c r="T499" s="1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 spans="1:34" x14ac:dyDescent="0.3">
      <c r="A500" s="16">
        <v>496</v>
      </c>
      <c r="B500" s="17" t="s">
        <v>2509</v>
      </c>
      <c r="C500" s="18" t="s">
        <v>2510</v>
      </c>
      <c r="D500" s="19">
        <v>46017</v>
      </c>
      <c r="E500" s="49"/>
      <c r="F500" s="49"/>
      <c r="G500" s="20"/>
      <c r="H500" s="20"/>
      <c r="I500" s="21">
        <v>77.884399999999999</v>
      </c>
      <c r="J500" s="22">
        <f>ROUND(I500*H500,2)</f>
        <v>0</v>
      </c>
      <c r="K500" s="23" t="e">
        <f>ROUND(G500/J500,4)</f>
        <v>#DIV/0!</v>
      </c>
      <c r="L500" s="24" t="e">
        <f>1-K500</f>
        <v>#DIV/0!</v>
      </c>
      <c r="M500" s="25" t="s">
        <v>2511</v>
      </c>
      <c r="N500" s="25" t="s">
        <v>2512</v>
      </c>
      <c r="O500" s="26" t="s">
        <v>2513</v>
      </c>
      <c r="P500" s="27" t="s">
        <v>319</v>
      </c>
      <c r="Q500" s="27" t="s">
        <v>25</v>
      </c>
      <c r="R500" s="64" t="s">
        <v>39</v>
      </c>
      <c r="S500" s="29">
        <v>437</v>
      </c>
      <c r="T500" s="1"/>
    </row>
    <row r="501" spans="1:34" x14ac:dyDescent="0.3">
      <c r="A501" s="16">
        <v>497</v>
      </c>
      <c r="B501" s="17" t="s">
        <v>2514</v>
      </c>
      <c r="C501" s="18" t="s">
        <v>2515</v>
      </c>
      <c r="D501" s="19">
        <v>46017</v>
      </c>
      <c r="E501" s="49"/>
      <c r="F501" s="49"/>
      <c r="G501" s="20"/>
      <c r="H501" s="20"/>
      <c r="I501" s="21">
        <v>77.884399999999999</v>
      </c>
      <c r="J501" s="22">
        <f>ROUND(I501*H501,2)</f>
        <v>0</v>
      </c>
      <c r="K501" s="23" t="e">
        <f>ROUND(G501/J501,4)</f>
        <v>#DIV/0!</v>
      </c>
      <c r="L501" s="24" t="e">
        <f>1-K501</f>
        <v>#DIV/0!</v>
      </c>
      <c r="M501" s="25" t="s">
        <v>2516</v>
      </c>
      <c r="N501" s="25" t="s">
        <v>2517</v>
      </c>
      <c r="O501" s="26" t="s">
        <v>2518</v>
      </c>
      <c r="P501" s="27" t="s">
        <v>1519</v>
      </c>
      <c r="Q501" s="27" t="s">
        <v>25</v>
      </c>
      <c r="R501" s="21" t="s">
        <v>26</v>
      </c>
      <c r="S501" s="29">
        <v>438</v>
      </c>
      <c r="T501" s="1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 spans="1:34" x14ac:dyDescent="0.3">
      <c r="A502" s="16">
        <v>498</v>
      </c>
      <c r="B502" s="17" t="s">
        <v>2519</v>
      </c>
      <c r="C502" s="18" t="s">
        <v>2520</v>
      </c>
      <c r="D502" s="19">
        <v>46017</v>
      </c>
      <c r="E502" s="49"/>
      <c r="F502" s="49"/>
      <c r="G502" s="20"/>
      <c r="H502" s="20"/>
      <c r="I502" s="21">
        <v>77.884399999999999</v>
      </c>
      <c r="J502" s="22">
        <f>ROUND(I502*H502,2)</f>
        <v>0</v>
      </c>
      <c r="K502" s="23" t="e">
        <f>ROUND(G502/J502,4)</f>
        <v>#DIV/0!</v>
      </c>
      <c r="L502" s="24" t="e">
        <f>1-K502</f>
        <v>#DIV/0!</v>
      </c>
      <c r="M502" s="25" t="s">
        <v>2521</v>
      </c>
      <c r="N502" s="25" t="s">
        <v>2522</v>
      </c>
      <c r="O502" s="26" t="s">
        <v>2523</v>
      </c>
      <c r="P502" s="27" t="s">
        <v>639</v>
      </c>
      <c r="Q502" s="27" t="s">
        <v>25</v>
      </c>
      <c r="R502" s="21" t="s">
        <v>26</v>
      </c>
      <c r="S502" s="29">
        <v>439</v>
      </c>
      <c r="T502" s="1"/>
    </row>
    <row r="503" spans="1:34" x14ac:dyDescent="0.3">
      <c r="A503" s="16">
        <v>499</v>
      </c>
      <c r="B503" s="17" t="s">
        <v>2524</v>
      </c>
      <c r="C503" s="18" t="s">
        <v>2525</v>
      </c>
      <c r="D503" s="19">
        <v>46017</v>
      </c>
      <c r="E503" s="49"/>
      <c r="F503" s="49"/>
      <c r="G503" s="20"/>
      <c r="H503" s="20"/>
      <c r="I503" s="21">
        <v>77.884399999999999</v>
      </c>
      <c r="J503" s="22">
        <f>ROUND(I503*H503,2)</f>
        <v>0</v>
      </c>
      <c r="K503" s="23" t="e">
        <f>ROUND(G503/J503,4)</f>
        <v>#DIV/0!</v>
      </c>
      <c r="L503" s="24" t="e">
        <f>1-K503</f>
        <v>#DIV/0!</v>
      </c>
      <c r="M503" s="25" t="s">
        <v>2526</v>
      </c>
      <c r="N503" s="25" t="s">
        <v>2527</v>
      </c>
      <c r="O503" s="26" t="s">
        <v>2528</v>
      </c>
      <c r="P503" s="27" t="s">
        <v>189</v>
      </c>
      <c r="Q503" s="27" t="s">
        <v>25</v>
      </c>
      <c r="R503" s="21" t="s">
        <v>26</v>
      </c>
      <c r="S503" s="29">
        <v>440</v>
      </c>
      <c r="T503" s="1"/>
    </row>
    <row r="504" spans="1:34" x14ac:dyDescent="0.3">
      <c r="A504" s="31">
        <v>500</v>
      </c>
      <c r="B504" s="32" t="s">
        <v>2529</v>
      </c>
      <c r="C504" s="33" t="s">
        <v>2530</v>
      </c>
      <c r="D504" s="19">
        <v>46017</v>
      </c>
      <c r="E504" s="49"/>
      <c r="F504" s="49"/>
      <c r="G504" s="20"/>
      <c r="H504" s="20"/>
      <c r="I504" s="21">
        <v>77.884399999999999</v>
      </c>
      <c r="J504" s="22">
        <f>ROUND(I504*H504,2)</f>
        <v>0</v>
      </c>
      <c r="K504" s="23" t="e">
        <f>ROUND(G504/J504,4)</f>
        <v>#DIV/0!</v>
      </c>
      <c r="L504" s="24" t="e">
        <f>1-K504</f>
        <v>#DIV/0!</v>
      </c>
      <c r="M504" s="25" t="s">
        <v>2531</v>
      </c>
      <c r="N504" s="25" t="s">
        <v>2532</v>
      </c>
      <c r="O504" s="26" t="s">
        <v>2533</v>
      </c>
      <c r="P504" s="27" t="s">
        <v>2534</v>
      </c>
      <c r="Q504" s="27" t="s">
        <v>25</v>
      </c>
      <c r="R504" s="21" t="s">
        <v>26</v>
      </c>
      <c r="S504" s="29">
        <v>441</v>
      </c>
      <c r="T504" s="1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 spans="1:34" x14ac:dyDescent="0.3">
      <c r="A505" s="16">
        <v>501</v>
      </c>
      <c r="B505" s="17" t="s">
        <v>2535</v>
      </c>
      <c r="C505" s="18" t="s">
        <v>2536</v>
      </c>
      <c r="D505" s="19">
        <v>46017</v>
      </c>
      <c r="E505" s="49"/>
      <c r="F505" s="49"/>
      <c r="G505" s="20"/>
      <c r="H505" s="20"/>
      <c r="I505" s="21">
        <v>77.884399999999999</v>
      </c>
      <c r="J505" s="22">
        <f>ROUND(I505*H505,2)</f>
        <v>0</v>
      </c>
      <c r="K505" s="23" t="e">
        <f>ROUND(G505/J505,4)</f>
        <v>#DIV/0!</v>
      </c>
      <c r="L505" s="24" t="e">
        <f>1-K505</f>
        <v>#DIV/0!</v>
      </c>
      <c r="M505" s="25" t="s">
        <v>2537</v>
      </c>
      <c r="N505" s="25" t="s">
        <v>2538</v>
      </c>
      <c r="O505" s="26" t="s">
        <v>2539</v>
      </c>
      <c r="P505" s="27" t="s">
        <v>622</v>
      </c>
      <c r="Q505" s="27" t="s">
        <v>25</v>
      </c>
      <c r="R505" s="64" t="s">
        <v>39</v>
      </c>
      <c r="S505" s="29">
        <v>442</v>
      </c>
      <c r="T505" s="1"/>
    </row>
    <row r="506" spans="1:34" x14ac:dyDescent="0.3">
      <c r="A506" s="31">
        <v>502</v>
      </c>
      <c r="B506" s="32" t="s">
        <v>2540</v>
      </c>
      <c r="C506" s="33" t="s">
        <v>2541</v>
      </c>
      <c r="D506" s="19">
        <v>46017</v>
      </c>
      <c r="E506" s="49"/>
      <c r="F506" s="49"/>
      <c r="G506" s="20"/>
      <c r="H506" s="20"/>
      <c r="I506" s="21">
        <v>77.884399999999999</v>
      </c>
      <c r="J506" s="22">
        <f>ROUND(I506*H506,2)</f>
        <v>0</v>
      </c>
      <c r="K506" s="23" t="e">
        <f>ROUND(G506/J506,4)</f>
        <v>#DIV/0!</v>
      </c>
      <c r="L506" s="24" t="e">
        <f>1-K506</f>
        <v>#DIV/0!</v>
      </c>
      <c r="M506" s="25" t="s">
        <v>2542</v>
      </c>
      <c r="N506" s="25" t="s">
        <v>2543</v>
      </c>
      <c r="O506" s="26" t="s">
        <v>2544</v>
      </c>
      <c r="P506" s="27" t="s">
        <v>57</v>
      </c>
      <c r="Q506" s="27" t="s">
        <v>25</v>
      </c>
      <c r="R506" s="21" t="s">
        <v>26</v>
      </c>
      <c r="S506" s="29">
        <v>443</v>
      </c>
      <c r="T506" s="1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 spans="1:34" x14ac:dyDescent="0.3">
      <c r="A507" s="16">
        <v>503</v>
      </c>
      <c r="B507" s="17" t="s">
        <v>2545</v>
      </c>
      <c r="C507" s="18" t="s">
        <v>2546</v>
      </c>
      <c r="D507" s="19">
        <v>46017</v>
      </c>
      <c r="E507" s="49"/>
      <c r="F507" s="49"/>
      <c r="G507" s="20"/>
      <c r="H507" s="20"/>
      <c r="I507" s="21">
        <v>77.884399999999999</v>
      </c>
      <c r="J507" s="22">
        <f>ROUND(I507*H507,2)</f>
        <v>0</v>
      </c>
      <c r="K507" s="23" t="e">
        <f>ROUND(G507/J507,4)</f>
        <v>#DIV/0!</v>
      </c>
      <c r="L507" s="24" t="e">
        <f>1-K507</f>
        <v>#DIV/0!</v>
      </c>
      <c r="M507" s="25" t="s">
        <v>2547</v>
      </c>
      <c r="N507" s="25" t="s">
        <v>2548</v>
      </c>
      <c r="O507" s="26" t="s">
        <v>2549</v>
      </c>
      <c r="P507" s="27" t="s">
        <v>174</v>
      </c>
      <c r="Q507" s="27" t="s">
        <v>25</v>
      </c>
      <c r="R507" s="64" t="s">
        <v>39</v>
      </c>
      <c r="S507" s="29">
        <v>444</v>
      </c>
      <c r="T507" s="1"/>
    </row>
    <row r="508" spans="1:34" x14ac:dyDescent="0.3">
      <c r="A508" s="31">
        <v>504</v>
      </c>
      <c r="B508" s="32" t="s">
        <v>2550</v>
      </c>
      <c r="C508" s="33" t="s">
        <v>2551</v>
      </c>
      <c r="D508" s="19">
        <v>46017</v>
      </c>
      <c r="E508" s="49"/>
      <c r="F508" s="49"/>
      <c r="G508" s="20"/>
      <c r="H508" s="20"/>
      <c r="I508" s="21">
        <v>77.884399999999999</v>
      </c>
      <c r="J508" s="22">
        <f>ROUND(I508*H508,2)</f>
        <v>0</v>
      </c>
      <c r="K508" s="23" t="e">
        <f>ROUND(G508/J508,4)</f>
        <v>#DIV/0!</v>
      </c>
      <c r="L508" s="24" t="e">
        <f>1-K508</f>
        <v>#DIV/0!</v>
      </c>
      <c r="M508" s="25" t="s">
        <v>2552</v>
      </c>
      <c r="N508" s="25" t="s">
        <v>2553</v>
      </c>
      <c r="O508" s="26" t="s">
        <v>2554</v>
      </c>
      <c r="P508" s="27" t="s">
        <v>2555</v>
      </c>
      <c r="Q508" s="27" t="s">
        <v>25</v>
      </c>
      <c r="R508" s="21" t="s">
        <v>39</v>
      </c>
      <c r="S508" s="29">
        <v>445</v>
      </c>
      <c r="T508" s="1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 spans="1:34" x14ac:dyDescent="0.3">
      <c r="A509" s="31">
        <v>505</v>
      </c>
      <c r="B509" s="32" t="s">
        <v>2556</v>
      </c>
      <c r="C509" s="33" t="s">
        <v>2557</v>
      </c>
      <c r="D509" s="19">
        <v>46017</v>
      </c>
      <c r="E509" s="49"/>
      <c r="F509" s="49"/>
      <c r="G509" s="20"/>
      <c r="H509" s="20"/>
      <c r="I509" s="21">
        <v>77.884399999999999</v>
      </c>
      <c r="J509" s="22">
        <f>ROUND(I509*H509,2)</f>
        <v>0</v>
      </c>
      <c r="K509" s="23" t="e">
        <f>ROUND(G509/J509,4)</f>
        <v>#DIV/0!</v>
      </c>
      <c r="L509" s="24" t="e">
        <f>1-K509</f>
        <v>#DIV/0!</v>
      </c>
      <c r="M509" s="25" t="s">
        <v>2558</v>
      </c>
      <c r="N509" s="25" t="s">
        <v>2559</v>
      </c>
      <c r="O509" s="26" t="s">
        <v>2560</v>
      </c>
      <c r="P509" s="27" t="s">
        <v>2561</v>
      </c>
      <c r="Q509" s="27" t="s">
        <v>25</v>
      </c>
      <c r="R509" s="64" t="s">
        <v>39</v>
      </c>
      <c r="S509" s="29">
        <v>446</v>
      </c>
      <c r="T509" s="1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 spans="1:34" x14ac:dyDescent="0.3">
      <c r="A510" s="31">
        <v>506</v>
      </c>
      <c r="B510" s="32" t="s">
        <v>2562</v>
      </c>
      <c r="C510" s="33" t="s">
        <v>2563</v>
      </c>
      <c r="D510" s="19">
        <v>46017</v>
      </c>
      <c r="E510" s="49"/>
      <c r="F510" s="49"/>
      <c r="G510" s="20"/>
      <c r="H510" s="20"/>
      <c r="I510" s="21">
        <v>77.884399999999999</v>
      </c>
      <c r="J510" s="22">
        <f>ROUND(I510*H510,2)</f>
        <v>0</v>
      </c>
      <c r="K510" s="23" t="e">
        <f>ROUND(G510/J510,4)</f>
        <v>#DIV/0!</v>
      </c>
      <c r="L510" s="24" t="e">
        <f>1-K510</f>
        <v>#DIV/0!</v>
      </c>
      <c r="M510" s="25" t="s">
        <v>2564</v>
      </c>
      <c r="N510" s="25" t="s">
        <v>2565</v>
      </c>
      <c r="O510" s="26" t="s">
        <v>2566</v>
      </c>
      <c r="P510" s="27" t="s">
        <v>2567</v>
      </c>
      <c r="Q510" s="27" t="s">
        <v>25</v>
      </c>
      <c r="R510" s="21" t="s">
        <v>39</v>
      </c>
      <c r="S510" s="29">
        <v>447</v>
      </c>
      <c r="T510" s="1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 spans="1:34" x14ac:dyDescent="0.3">
      <c r="A511" s="16">
        <v>507</v>
      </c>
      <c r="B511" s="17" t="s">
        <v>2568</v>
      </c>
      <c r="C511" s="34" t="s">
        <v>2569</v>
      </c>
      <c r="D511" s="19">
        <v>46017</v>
      </c>
      <c r="E511" s="49"/>
      <c r="F511" s="49"/>
      <c r="G511" s="20"/>
      <c r="H511" s="20"/>
      <c r="I511" s="21">
        <v>77.884399999999999</v>
      </c>
      <c r="J511" s="22">
        <f>ROUND(I511*H511,2)</f>
        <v>0</v>
      </c>
      <c r="K511" s="23" t="e">
        <f>ROUND(G511/J511,4)</f>
        <v>#DIV/0!</v>
      </c>
      <c r="L511" s="24" t="e">
        <f>1-K511</f>
        <v>#DIV/0!</v>
      </c>
      <c r="M511" s="25" t="s">
        <v>2570</v>
      </c>
      <c r="N511" s="25" t="s">
        <v>2571</v>
      </c>
      <c r="O511" s="26" t="s">
        <v>2572</v>
      </c>
      <c r="P511" s="27" t="s">
        <v>319</v>
      </c>
      <c r="Q511" s="27" t="s">
        <v>25</v>
      </c>
      <c r="R511" s="64" t="s">
        <v>26</v>
      </c>
      <c r="S511" s="29">
        <v>448</v>
      </c>
      <c r="T511" s="1"/>
    </row>
    <row r="512" spans="1:34" x14ac:dyDescent="0.3">
      <c r="A512" s="16">
        <v>508</v>
      </c>
      <c r="B512" s="17" t="s">
        <v>2573</v>
      </c>
      <c r="C512" s="18" t="s">
        <v>2574</v>
      </c>
      <c r="D512" s="19">
        <v>46017</v>
      </c>
      <c r="E512" s="49"/>
      <c r="F512" s="49"/>
      <c r="G512" s="20"/>
      <c r="H512" s="20"/>
      <c r="I512" s="21">
        <v>77.884399999999999</v>
      </c>
      <c r="J512" s="22">
        <f>ROUND(I512*H512,2)</f>
        <v>0</v>
      </c>
      <c r="K512" s="23" t="e">
        <f>ROUND(G512/J512,4)</f>
        <v>#DIV/0!</v>
      </c>
      <c r="L512" s="24" t="e">
        <f>1-K512</f>
        <v>#DIV/0!</v>
      </c>
      <c r="M512" s="25" t="s">
        <v>2575</v>
      </c>
      <c r="N512" s="25" t="s">
        <v>2576</v>
      </c>
      <c r="O512" s="26" t="s">
        <v>2577</v>
      </c>
      <c r="P512" s="27" t="s">
        <v>1100</v>
      </c>
      <c r="Q512" s="27" t="s">
        <v>25</v>
      </c>
      <c r="R512" s="21" t="s">
        <v>26</v>
      </c>
      <c r="S512" s="29">
        <v>449</v>
      </c>
      <c r="T512" s="1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 spans="1:34" x14ac:dyDescent="0.3">
      <c r="A513" s="16">
        <v>509</v>
      </c>
      <c r="B513" s="17" t="s">
        <v>2578</v>
      </c>
      <c r="C513" s="18" t="s">
        <v>2579</v>
      </c>
      <c r="D513" s="19">
        <v>46017</v>
      </c>
      <c r="E513" s="49"/>
      <c r="F513" s="49"/>
      <c r="G513" s="20"/>
      <c r="H513" s="20"/>
      <c r="I513" s="21">
        <v>77.884399999999999</v>
      </c>
      <c r="J513" s="22">
        <f>ROUND(I513*H513,2)</f>
        <v>0</v>
      </c>
      <c r="K513" s="23" t="e">
        <f>ROUND(G513/J513,4)</f>
        <v>#DIV/0!</v>
      </c>
      <c r="L513" s="24" t="e">
        <f>1-K513</f>
        <v>#DIV/0!</v>
      </c>
      <c r="M513" s="25" t="s">
        <v>2580</v>
      </c>
      <c r="N513" s="25" t="s">
        <v>2581</v>
      </c>
      <c r="O513" s="26" t="s">
        <v>2582</v>
      </c>
      <c r="P513" s="27" t="s">
        <v>95</v>
      </c>
      <c r="Q513" s="27" t="s">
        <v>25</v>
      </c>
      <c r="R513" s="64" t="s">
        <v>26</v>
      </c>
      <c r="S513" s="29">
        <v>450</v>
      </c>
      <c r="T513" s="1"/>
    </row>
    <row r="514" spans="1:34" x14ac:dyDescent="0.3">
      <c r="A514" s="16">
        <v>510</v>
      </c>
      <c r="B514" s="17" t="s">
        <v>2583</v>
      </c>
      <c r="C514" s="18" t="s">
        <v>2584</v>
      </c>
      <c r="D514" s="19">
        <v>46017</v>
      </c>
      <c r="E514" s="49"/>
      <c r="F514" s="49"/>
      <c r="G514" s="20"/>
      <c r="H514" s="20"/>
      <c r="I514" s="21">
        <v>77.884399999999999</v>
      </c>
      <c r="J514" s="22">
        <f>ROUND(I514*H514,2)</f>
        <v>0</v>
      </c>
      <c r="K514" s="23" t="e">
        <f>ROUND(G514/J514,4)</f>
        <v>#DIV/0!</v>
      </c>
      <c r="L514" s="24" t="e">
        <f>1-K514</f>
        <v>#DIV/0!</v>
      </c>
      <c r="M514" s="25" t="s">
        <v>2585</v>
      </c>
      <c r="N514" s="25" t="s">
        <v>2586</v>
      </c>
      <c r="O514" s="26" t="s">
        <v>2587</v>
      </c>
      <c r="P514" s="27" t="s">
        <v>38</v>
      </c>
      <c r="Q514" s="27" t="s">
        <v>25</v>
      </c>
      <c r="R514" s="21" t="s">
        <v>26</v>
      </c>
      <c r="S514" s="29">
        <v>451</v>
      </c>
      <c r="T514" s="1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 spans="1:34" x14ac:dyDescent="0.3">
      <c r="A515" s="16">
        <v>511</v>
      </c>
      <c r="B515" s="17" t="s">
        <v>2588</v>
      </c>
      <c r="C515" s="34" t="s">
        <v>2589</v>
      </c>
      <c r="D515" s="19">
        <v>46017</v>
      </c>
      <c r="E515" s="49"/>
      <c r="F515" s="49"/>
      <c r="G515" s="20"/>
      <c r="H515" s="20"/>
      <c r="I515" s="21">
        <v>77.884399999999999</v>
      </c>
      <c r="J515" s="22">
        <f>ROUND(I515*H515,2)</f>
        <v>0</v>
      </c>
      <c r="K515" s="23" t="e">
        <f>ROUND(G515/J515,4)</f>
        <v>#DIV/0!</v>
      </c>
      <c r="L515" s="24" t="e">
        <f>1-K515</f>
        <v>#DIV/0!</v>
      </c>
      <c r="M515" s="25" t="s">
        <v>2590</v>
      </c>
      <c r="N515" s="25" t="s">
        <v>2591</v>
      </c>
      <c r="O515" s="26" t="s">
        <v>2592</v>
      </c>
      <c r="P515" s="27" t="s">
        <v>250</v>
      </c>
      <c r="Q515" s="27" t="s">
        <v>25</v>
      </c>
      <c r="R515" s="64" t="s">
        <v>26</v>
      </c>
      <c r="S515" s="29">
        <v>452</v>
      </c>
      <c r="T515" s="1"/>
    </row>
    <row r="516" spans="1:34" x14ac:dyDescent="0.3">
      <c r="A516" s="16">
        <v>512</v>
      </c>
      <c r="B516" s="17" t="s">
        <v>2593</v>
      </c>
      <c r="C516" s="18" t="s">
        <v>2594</v>
      </c>
      <c r="D516" s="19">
        <v>46017</v>
      </c>
      <c r="E516" s="49"/>
      <c r="F516" s="49"/>
      <c r="G516" s="20"/>
      <c r="H516" s="20"/>
      <c r="I516" s="21">
        <v>77.884399999999999</v>
      </c>
      <c r="J516" s="22">
        <f>ROUND(I516*H516,2)</f>
        <v>0</v>
      </c>
      <c r="K516" s="23" t="e">
        <f>ROUND(G516/J516,4)</f>
        <v>#DIV/0!</v>
      </c>
      <c r="L516" s="24" t="e">
        <f>1-K516</f>
        <v>#DIV/0!</v>
      </c>
      <c r="M516" s="25" t="s">
        <v>2595</v>
      </c>
      <c r="N516" s="25" t="s">
        <v>2596</v>
      </c>
      <c r="O516" s="26" t="s">
        <v>2597</v>
      </c>
      <c r="P516" s="27" t="s">
        <v>622</v>
      </c>
      <c r="Q516" s="27" t="s">
        <v>25</v>
      </c>
      <c r="R516" s="21" t="s">
        <v>39</v>
      </c>
      <c r="S516" s="29">
        <v>453</v>
      </c>
      <c r="T516" s="1"/>
    </row>
    <row r="517" spans="1:34" x14ac:dyDescent="0.3">
      <c r="A517" s="16">
        <v>513</v>
      </c>
      <c r="B517" s="17" t="s">
        <v>2598</v>
      </c>
      <c r="C517" s="18" t="s">
        <v>2599</v>
      </c>
      <c r="D517" s="19">
        <v>46017</v>
      </c>
      <c r="E517" s="49"/>
      <c r="F517" s="49"/>
      <c r="G517" s="20"/>
      <c r="H517" s="20"/>
      <c r="I517" s="21">
        <v>77.884399999999999</v>
      </c>
      <c r="J517" s="22">
        <f>ROUND(I517*H517,2)</f>
        <v>0</v>
      </c>
      <c r="K517" s="23" t="e">
        <f>ROUND(G517/J517,4)</f>
        <v>#DIV/0!</v>
      </c>
      <c r="L517" s="24" t="e">
        <f>1-K517</f>
        <v>#DIV/0!</v>
      </c>
      <c r="M517" s="25" t="s">
        <v>2600</v>
      </c>
      <c r="N517" s="25" t="s">
        <v>2601</v>
      </c>
      <c r="O517" s="26" t="s">
        <v>2602</v>
      </c>
      <c r="P517" s="27" t="s">
        <v>134</v>
      </c>
      <c r="Q517" s="27" t="s">
        <v>25</v>
      </c>
      <c r="R517" s="21" t="s">
        <v>39</v>
      </c>
      <c r="S517" s="29">
        <v>454</v>
      </c>
      <c r="T517" s="1"/>
    </row>
    <row r="518" spans="1:34" x14ac:dyDescent="0.3">
      <c r="A518" s="16">
        <v>514</v>
      </c>
      <c r="B518" s="17" t="s">
        <v>2603</v>
      </c>
      <c r="C518" s="18" t="s">
        <v>2604</v>
      </c>
      <c r="D518" s="19">
        <v>46017</v>
      </c>
      <c r="E518" s="49"/>
      <c r="F518" s="49"/>
      <c r="G518" s="20"/>
      <c r="H518" s="20"/>
      <c r="I518" s="21">
        <v>77.884399999999999</v>
      </c>
      <c r="J518" s="22">
        <f>ROUND(I518*H518,2)</f>
        <v>0</v>
      </c>
      <c r="K518" s="23" t="e">
        <f>ROUND(G518/J518,4)</f>
        <v>#DIV/0!</v>
      </c>
      <c r="L518" s="24" t="e">
        <f>1-K518</f>
        <v>#DIV/0!</v>
      </c>
      <c r="M518" s="25" t="s">
        <v>2605</v>
      </c>
      <c r="N518" s="25" t="s">
        <v>2606</v>
      </c>
      <c r="O518" s="26" t="s">
        <v>2607</v>
      </c>
      <c r="P518" s="27" t="s">
        <v>174</v>
      </c>
      <c r="Q518" s="27" t="s">
        <v>25</v>
      </c>
      <c r="R518" s="21" t="s">
        <v>39</v>
      </c>
      <c r="S518" s="29">
        <v>455</v>
      </c>
      <c r="T518" s="1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 spans="1:34" x14ac:dyDescent="0.3">
      <c r="A519" s="16">
        <v>515</v>
      </c>
      <c r="B519" s="17" t="s">
        <v>2608</v>
      </c>
      <c r="C519" s="34" t="s">
        <v>2609</v>
      </c>
      <c r="D519" s="19">
        <v>46017</v>
      </c>
      <c r="E519" s="49"/>
      <c r="F519" s="49"/>
      <c r="G519" s="20"/>
      <c r="H519" s="20"/>
      <c r="I519" s="21">
        <v>77.884399999999999</v>
      </c>
      <c r="J519" s="22">
        <f>ROUND(I519*H519,2)</f>
        <v>0</v>
      </c>
      <c r="K519" s="23" t="e">
        <f>ROUND(G519/J519,4)</f>
        <v>#DIV/0!</v>
      </c>
      <c r="L519" s="24" t="e">
        <f>1-K519</f>
        <v>#DIV/0!</v>
      </c>
      <c r="M519" s="25" t="s">
        <v>2610</v>
      </c>
      <c r="N519" s="25" t="s">
        <v>2611</v>
      </c>
      <c r="O519" s="26" t="s">
        <v>2612</v>
      </c>
      <c r="P519" s="27" t="s">
        <v>123</v>
      </c>
      <c r="Q519" s="27" t="s">
        <v>25</v>
      </c>
      <c r="R519" s="21" t="s">
        <v>39</v>
      </c>
      <c r="S519" s="29">
        <v>456</v>
      </c>
      <c r="T519" s="1"/>
    </row>
    <row r="520" spans="1:34" x14ac:dyDescent="0.3">
      <c r="A520" s="31">
        <v>516</v>
      </c>
      <c r="B520" s="26" t="s">
        <v>2613</v>
      </c>
      <c r="C520" s="27" t="s">
        <v>2614</v>
      </c>
      <c r="D520" s="19">
        <v>46017</v>
      </c>
      <c r="E520" s="49"/>
      <c r="F520" s="49"/>
      <c r="G520" s="20"/>
      <c r="H520" s="20"/>
      <c r="I520" s="21">
        <v>77.884399999999999</v>
      </c>
      <c r="J520" s="22">
        <f>ROUND(I520*H520,2)</f>
        <v>0</v>
      </c>
      <c r="K520" s="23" t="e">
        <f>ROUND(G520/J520,4)</f>
        <v>#DIV/0!</v>
      </c>
      <c r="L520" s="24" t="e">
        <f>1-K520</f>
        <v>#DIV/0!</v>
      </c>
      <c r="M520" s="25"/>
      <c r="N520" s="25"/>
      <c r="O520" s="26" t="s">
        <v>2615</v>
      </c>
      <c r="P520" s="27" t="s">
        <v>2616</v>
      </c>
      <c r="Q520" s="27" t="s">
        <v>25</v>
      </c>
      <c r="R520" s="21" t="s">
        <v>39</v>
      </c>
      <c r="S520" s="29"/>
      <c r="T520" s="1"/>
    </row>
    <row r="521" spans="1:34" x14ac:dyDescent="0.3">
      <c r="A521" s="16">
        <v>517</v>
      </c>
      <c r="B521" s="17" t="s">
        <v>2617</v>
      </c>
      <c r="C521" s="18" t="s">
        <v>2618</v>
      </c>
      <c r="D521" s="19">
        <v>46017</v>
      </c>
      <c r="E521" s="49"/>
      <c r="F521" s="49"/>
      <c r="G521" s="20"/>
      <c r="H521" s="20"/>
      <c r="I521" s="21">
        <v>77.884399999999999</v>
      </c>
      <c r="J521" s="22">
        <f>ROUND(I521*H521,2)</f>
        <v>0</v>
      </c>
      <c r="K521" s="23" t="e">
        <f>ROUND(G521/J521,4)</f>
        <v>#DIV/0!</v>
      </c>
      <c r="L521" s="24" t="e">
        <f>1-K521</f>
        <v>#DIV/0!</v>
      </c>
      <c r="M521" s="25" t="s">
        <v>2619</v>
      </c>
      <c r="N521" s="25" t="s">
        <v>2620</v>
      </c>
      <c r="O521" s="26" t="s">
        <v>2621</v>
      </c>
      <c r="P521" s="27" t="s">
        <v>123</v>
      </c>
      <c r="Q521" s="27" t="s">
        <v>25</v>
      </c>
      <c r="R521" s="21" t="s">
        <v>26</v>
      </c>
      <c r="S521" s="29">
        <v>457</v>
      </c>
      <c r="T521" s="1"/>
    </row>
    <row r="522" spans="1:34" x14ac:dyDescent="0.3">
      <c r="A522" s="16">
        <v>518</v>
      </c>
      <c r="B522" s="17" t="s">
        <v>2622</v>
      </c>
      <c r="C522" s="18" t="s">
        <v>2623</v>
      </c>
      <c r="D522" s="19">
        <v>46017</v>
      </c>
      <c r="E522" s="49"/>
      <c r="F522" s="49"/>
      <c r="G522" s="20"/>
      <c r="H522" s="20"/>
      <c r="I522" s="21">
        <v>77.884399999999999</v>
      </c>
      <c r="J522" s="22">
        <f>ROUND(I522*H522,2)</f>
        <v>0</v>
      </c>
      <c r="K522" s="23" t="e">
        <f>ROUND(G522/J522,4)</f>
        <v>#DIV/0!</v>
      </c>
      <c r="L522" s="24" t="e">
        <f>1-K522</f>
        <v>#DIV/0!</v>
      </c>
      <c r="M522" s="25" t="s">
        <v>2624</v>
      </c>
      <c r="N522" s="25" t="s">
        <v>2625</v>
      </c>
      <c r="O522" s="26" t="s">
        <v>2626</v>
      </c>
      <c r="P522" s="27" t="s">
        <v>32</v>
      </c>
      <c r="Q522" s="27" t="s">
        <v>25</v>
      </c>
      <c r="R522" s="21" t="s">
        <v>39</v>
      </c>
      <c r="S522" s="29">
        <v>458</v>
      </c>
      <c r="T522" s="1"/>
    </row>
    <row r="523" spans="1:34" x14ac:dyDescent="0.3">
      <c r="A523" s="16">
        <v>519</v>
      </c>
      <c r="B523" s="17" t="s">
        <v>2627</v>
      </c>
      <c r="C523" s="18" t="s">
        <v>2628</v>
      </c>
      <c r="D523" s="19">
        <v>46017</v>
      </c>
      <c r="E523" s="49"/>
      <c r="F523" s="49"/>
      <c r="G523" s="20"/>
      <c r="H523" s="20"/>
      <c r="I523" s="21">
        <v>77.884399999999999</v>
      </c>
      <c r="J523" s="22">
        <f>ROUND(I523*H523,2)</f>
        <v>0</v>
      </c>
      <c r="K523" s="23" t="e">
        <f>ROUND(G523/J523,4)</f>
        <v>#DIV/0!</v>
      </c>
      <c r="L523" s="24" t="e">
        <f>1-K523</f>
        <v>#DIV/0!</v>
      </c>
      <c r="M523" s="25" t="s">
        <v>2629</v>
      </c>
      <c r="N523" s="25" t="s">
        <v>2630</v>
      </c>
      <c r="O523" s="26" t="s">
        <v>2631</v>
      </c>
      <c r="P523" s="27" t="s">
        <v>174</v>
      </c>
      <c r="Q523" s="27" t="s">
        <v>25</v>
      </c>
      <c r="R523" s="64" t="s">
        <v>39</v>
      </c>
      <c r="S523" s="29">
        <v>459</v>
      </c>
      <c r="T523" s="1"/>
    </row>
    <row r="524" spans="1:34" x14ac:dyDescent="0.3">
      <c r="A524" s="16">
        <v>520</v>
      </c>
      <c r="B524" s="17" t="s">
        <v>2632</v>
      </c>
      <c r="C524" s="18" t="s">
        <v>2633</v>
      </c>
      <c r="D524" s="19">
        <v>46017</v>
      </c>
      <c r="E524" s="49"/>
      <c r="F524" s="49"/>
      <c r="G524" s="20"/>
      <c r="H524" s="20"/>
      <c r="I524" s="21">
        <v>77.884399999999999</v>
      </c>
      <c r="J524" s="22">
        <f>ROUND(I524*H524,2)</f>
        <v>0</v>
      </c>
      <c r="K524" s="23" t="e">
        <f>ROUND(G524/J524,4)</f>
        <v>#DIV/0!</v>
      </c>
      <c r="L524" s="24" t="e">
        <f>1-K524</f>
        <v>#DIV/0!</v>
      </c>
      <c r="M524" s="25" t="s">
        <v>2634</v>
      </c>
      <c r="N524" s="25" t="s">
        <v>2635</v>
      </c>
      <c r="O524" s="26" t="s">
        <v>2636</v>
      </c>
      <c r="P524" s="27" t="s">
        <v>1996</v>
      </c>
      <c r="Q524" s="27" t="s">
        <v>25</v>
      </c>
      <c r="R524" s="21" t="s">
        <v>39</v>
      </c>
      <c r="S524" s="29">
        <v>460</v>
      </c>
      <c r="T524" s="1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 spans="1:34" x14ac:dyDescent="0.3">
      <c r="A525" s="16">
        <v>521</v>
      </c>
      <c r="B525" s="17" t="s">
        <v>2637</v>
      </c>
      <c r="C525" s="18" t="s">
        <v>2638</v>
      </c>
      <c r="D525" s="19">
        <v>46017</v>
      </c>
      <c r="E525" s="49"/>
      <c r="F525" s="49"/>
      <c r="G525" s="20"/>
      <c r="H525" s="20"/>
      <c r="I525" s="21">
        <v>77.884399999999999</v>
      </c>
      <c r="J525" s="22">
        <f>ROUND(I525*H525,2)</f>
        <v>0</v>
      </c>
      <c r="K525" s="23" t="e">
        <f>ROUND(G525/J525,4)</f>
        <v>#DIV/0!</v>
      </c>
      <c r="L525" s="24" t="e">
        <f>1-K525</f>
        <v>#DIV/0!</v>
      </c>
      <c r="M525" s="25" t="s">
        <v>2639</v>
      </c>
      <c r="N525" s="25" t="s">
        <v>2640</v>
      </c>
      <c r="O525" s="26" t="s">
        <v>2641</v>
      </c>
      <c r="P525" s="27" t="s">
        <v>1100</v>
      </c>
      <c r="Q525" s="27" t="s">
        <v>25</v>
      </c>
      <c r="R525" s="21" t="s">
        <v>39</v>
      </c>
      <c r="S525" s="29">
        <v>461</v>
      </c>
      <c r="T525" s="1"/>
    </row>
    <row r="526" spans="1:34" x14ac:dyDescent="0.3">
      <c r="A526" s="16">
        <v>522</v>
      </c>
      <c r="B526" s="17" t="s">
        <v>2642</v>
      </c>
      <c r="C526" s="18" t="s">
        <v>2643</v>
      </c>
      <c r="D526" s="19">
        <v>46017</v>
      </c>
      <c r="E526" s="49"/>
      <c r="F526" s="49"/>
      <c r="G526" s="20"/>
      <c r="H526" s="20"/>
      <c r="I526" s="21">
        <v>77.884399999999999</v>
      </c>
      <c r="J526" s="22">
        <f>ROUND(I526*H526,2)</f>
        <v>0</v>
      </c>
      <c r="K526" s="23" t="e">
        <f>ROUND(G526/J526,4)</f>
        <v>#DIV/0!</v>
      </c>
      <c r="L526" s="24" t="e">
        <f>1-K526</f>
        <v>#DIV/0!</v>
      </c>
      <c r="M526" s="25" t="s">
        <v>2644</v>
      </c>
      <c r="N526" s="25" t="s">
        <v>2645</v>
      </c>
      <c r="O526" s="26" t="s">
        <v>2646</v>
      </c>
      <c r="P526" s="27" t="s">
        <v>1617</v>
      </c>
      <c r="Q526" s="27" t="s">
        <v>25</v>
      </c>
      <c r="R526" s="21" t="s">
        <v>26</v>
      </c>
      <c r="S526" s="29">
        <v>462</v>
      </c>
      <c r="T526" s="1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 spans="1:34" x14ac:dyDescent="0.3">
      <c r="A527" s="16">
        <v>523</v>
      </c>
      <c r="B527" s="17" t="s">
        <v>2647</v>
      </c>
      <c r="C527" s="18" t="s">
        <v>2648</v>
      </c>
      <c r="D527" s="19">
        <v>46017</v>
      </c>
      <c r="E527" s="49"/>
      <c r="F527" s="49"/>
      <c r="G527" s="20"/>
      <c r="H527" s="20"/>
      <c r="I527" s="21">
        <v>77.884399999999999</v>
      </c>
      <c r="J527" s="22">
        <f>ROUND(I527*H527,2)</f>
        <v>0</v>
      </c>
      <c r="K527" s="23" t="e">
        <f>ROUND(G527/J527,4)</f>
        <v>#DIV/0!</v>
      </c>
      <c r="L527" s="24" t="e">
        <f>1-K527</f>
        <v>#DIV/0!</v>
      </c>
      <c r="M527" s="25" t="s">
        <v>2649</v>
      </c>
      <c r="N527" s="25" t="s">
        <v>2650</v>
      </c>
      <c r="O527" s="26" t="s">
        <v>2651</v>
      </c>
      <c r="P527" s="27" t="s">
        <v>903</v>
      </c>
      <c r="Q527" s="27" t="s">
        <v>25</v>
      </c>
      <c r="R527" s="21" t="s">
        <v>26</v>
      </c>
      <c r="S527" s="29">
        <v>463</v>
      </c>
      <c r="T527" s="1"/>
    </row>
    <row r="528" spans="1:34" x14ac:dyDescent="0.3">
      <c r="A528" s="31">
        <v>524</v>
      </c>
      <c r="B528" s="32" t="s">
        <v>2652</v>
      </c>
      <c r="C528" s="33" t="s">
        <v>2653</v>
      </c>
      <c r="D528" s="19">
        <v>46017</v>
      </c>
      <c r="E528" s="49"/>
      <c r="F528" s="49"/>
      <c r="G528" s="20"/>
      <c r="H528" s="20"/>
      <c r="I528" s="21">
        <v>77.884399999999999</v>
      </c>
      <c r="J528" s="22">
        <f>ROUND(I528*H528,2)</f>
        <v>0</v>
      </c>
      <c r="K528" s="23" t="e">
        <f>ROUND(G528/J528,4)</f>
        <v>#DIV/0!</v>
      </c>
      <c r="L528" s="24" t="e">
        <f>1-K528</f>
        <v>#DIV/0!</v>
      </c>
      <c r="M528" s="25" t="s">
        <v>2654</v>
      </c>
      <c r="N528" s="25" t="s">
        <v>2655</v>
      </c>
      <c r="O528" s="26" t="s">
        <v>2656</v>
      </c>
      <c r="P528" s="27" t="s">
        <v>383</v>
      </c>
      <c r="Q528" s="27" t="s">
        <v>25</v>
      </c>
      <c r="R528" s="21" t="s">
        <v>26</v>
      </c>
      <c r="S528" s="29">
        <v>464</v>
      </c>
      <c r="T528" s="1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 spans="1:34" x14ac:dyDescent="0.3">
      <c r="A529" s="16">
        <v>525</v>
      </c>
      <c r="B529" s="17" t="s">
        <v>2657</v>
      </c>
      <c r="C529" s="18" t="s">
        <v>2658</v>
      </c>
      <c r="D529" s="19">
        <v>46017</v>
      </c>
      <c r="E529" s="49"/>
      <c r="F529" s="49"/>
      <c r="G529" s="20"/>
      <c r="H529" s="20"/>
      <c r="I529" s="21">
        <v>77.884399999999999</v>
      </c>
      <c r="J529" s="22">
        <f>ROUND(I529*H529,2)</f>
        <v>0</v>
      </c>
      <c r="K529" s="23" t="e">
        <f>ROUND(G529/J529,4)</f>
        <v>#DIV/0!</v>
      </c>
      <c r="L529" s="24" t="e">
        <f>1-K529</f>
        <v>#DIV/0!</v>
      </c>
      <c r="M529" s="25" t="s">
        <v>2659</v>
      </c>
      <c r="N529" s="25" t="s">
        <v>2660</v>
      </c>
      <c r="O529" s="26" t="s">
        <v>2661</v>
      </c>
      <c r="P529" s="27" t="s">
        <v>32</v>
      </c>
      <c r="Q529" s="27" t="s">
        <v>25</v>
      </c>
      <c r="R529" s="64" t="s">
        <v>39</v>
      </c>
      <c r="S529" s="29">
        <v>465</v>
      </c>
      <c r="T529" s="1"/>
    </row>
    <row r="530" spans="1:34" x14ac:dyDescent="0.3">
      <c r="A530" s="16">
        <v>526</v>
      </c>
      <c r="B530" s="17" t="s">
        <v>2662</v>
      </c>
      <c r="C530" s="18" t="s">
        <v>2663</v>
      </c>
      <c r="D530" s="19">
        <v>46017</v>
      </c>
      <c r="E530" s="49"/>
      <c r="F530" s="49"/>
      <c r="G530" s="20"/>
      <c r="H530" s="20"/>
      <c r="I530" s="21">
        <v>77.884399999999999</v>
      </c>
      <c r="J530" s="22">
        <f>ROUND(I530*H530,2)</f>
        <v>0</v>
      </c>
      <c r="K530" s="23" t="e">
        <f>ROUND(G530/J530,4)</f>
        <v>#DIV/0!</v>
      </c>
      <c r="L530" s="24" t="e">
        <f>1-K530</f>
        <v>#DIV/0!</v>
      </c>
      <c r="M530" s="25" t="s">
        <v>2664</v>
      </c>
      <c r="N530" s="25" t="s">
        <v>2665</v>
      </c>
      <c r="O530" s="26" t="s">
        <v>2666</v>
      </c>
      <c r="P530" s="27" t="s">
        <v>1459</v>
      </c>
      <c r="Q530" s="27" t="s">
        <v>25</v>
      </c>
      <c r="R530" s="21" t="s">
        <v>26</v>
      </c>
      <c r="S530" s="29">
        <v>466</v>
      </c>
      <c r="T530" s="1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 spans="1:34" x14ac:dyDescent="0.3">
      <c r="A531" s="16">
        <v>527</v>
      </c>
      <c r="B531" s="17" t="s">
        <v>2667</v>
      </c>
      <c r="C531" s="34" t="s">
        <v>2668</v>
      </c>
      <c r="D531" s="19">
        <v>46017</v>
      </c>
      <c r="E531" s="49"/>
      <c r="F531" s="49"/>
      <c r="G531" s="20"/>
      <c r="H531" s="20"/>
      <c r="I531" s="21">
        <v>77.884399999999999</v>
      </c>
      <c r="J531" s="22">
        <f>ROUND(I531*H531,2)</f>
        <v>0</v>
      </c>
      <c r="K531" s="23" t="e">
        <f>ROUND(G531/J531,4)</f>
        <v>#DIV/0!</v>
      </c>
      <c r="L531" s="24" t="e">
        <f>1-K531</f>
        <v>#DIV/0!</v>
      </c>
      <c r="M531" s="25" t="s">
        <v>2669</v>
      </c>
      <c r="N531" s="25" t="s">
        <v>2670</v>
      </c>
      <c r="O531" s="26" t="s">
        <v>2671</v>
      </c>
      <c r="P531" s="27" t="s">
        <v>1148</v>
      </c>
      <c r="Q531" s="27" t="s">
        <v>25</v>
      </c>
      <c r="R531" s="21" t="s">
        <v>39</v>
      </c>
      <c r="S531" s="29">
        <v>467</v>
      </c>
      <c r="T531" s="1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 spans="1:34" x14ac:dyDescent="0.3">
      <c r="A532" s="16">
        <v>528</v>
      </c>
      <c r="B532" s="17" t="s">
        <v>2672</v>
      </c>
      <c r="C532" s="34" t="s">
        <v>2673</v>
      </c>
      <c r="D532" s="19">
        <v>46017</v>
      </c>
      <c r="E532" s="49"/>
      <c r="F532" s="49"/>
      <c r="G532" s="20"/>
      <c r="H532" s="20"/>
      <c r="I532" s="21">
        <v>77.884399999999999</v>
      </c>
      <c r="J532" s="22">
        <f>ROUND(I532*H532,2)</f>
        <v>0</v>
      </c>
      <c r="K532" s="23" t="e">
        <f>ROUND(G532/J532,4)</f>
        <v>#DIV/0!</v>
      </c>
      <c r="L532" s="24" t="e">
        <f>1-K532</f>
        <v>#DIV/0!</v>
      </c>
      <c r="M532" s="25" t="s">
        <v>2674</v>
      </c>
      <c r="N532" s="25" t="s">
        <v>2675</v>
      </c>
      <c r="O532" s="26" t="s">
        <v>2676</v>
      </c>
      <c r="P532" s="27" t="s">
        <v>1085</v>
      </c>
      <c r="Q532" s="27" t="s">
        <v>25</v>
      </c>
      <c r="R532" s="64" t="s">
        <v>26</v>
      </c>
      <c r="S532" s="29">
        <v>468</v>
      </c>
      <c r="T532" s="1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 spans="1:34" x14ac:dyDescent="0.3">
      <c r="A533" s="16">
        <v>529</v>
      </c>
      <c r="B533" s="17" t="s">
        <v>2677</v>
      </c>
      <c r="C533" s="18" t="s">
        <v>2678</v>
      </c>
      <c r="D533" s="19">
        <v>46017</v>
      </c>
      <c r="E533" s="49"/>
      <c r="F533" s="49"/>
      <c r="G533" s="20"/>
      <c r="H533" s="20"/>
      <c r="I533" s="21">
        <v>77.884399999999999</v>
      </c>
      <c r="J533" s="22">
        <f>ROUND(I533*H533,2)</f>
        <v>0</v>
      </c>
      <c r="K533" s="23" t="e">
        <f>ROUND(G533/J533,4)</f>
        <v>#DIV/0!</v>
      </c>
      <c r="L533" s="24" t="e">
        <f>1-K533</f>
        <v>#DIV/0!</v>
      </c>
      <c r="M533" s="25" t="s">
        <v>2679</v>
      </c>
      <c r="N533" s="25" t="s">
        <v>2680</v>
      </c>
      <c r="O533" s="26" t="s">
        <v>2681</v>
      </c>
      <c r="P533" s="27" t="s">
        <v>24</v>
      </c>
      <c r="Q533" s="27" t="s">
        <v>25</v>
      </c>
      <c r="R533" s="21" t="s">
        <v>39</v>
      </c>
      <c r="S533" s="29">
        <v>469</v>
      </c>
      <c r="T533" s="1"/>
    </row>
    <row r="534" spans="1:34" x14ac:dyDescent="0.3">
      <c r="A534" s="31">
        <v>530</v>
      </c>
      <c r="B534" s="26" t="s">
        <v>2682</v>
      </c>
      <c r="C534" s="27" t="s">
        <v>2683</v>
      </c>
      <c r="D534" s="19">
        <v>46017</v>
      </c>
      <c r="E534" s="49"/>
      <c r="F534" s="49"/>
      <c r="G534" s="20"/>
      <c r="H534" s="20"/>
      <c r="I534" s="21">
        <v>77.884399999999999</v>
      </c>
      <c r="J534" s="22">
        <f>ROUND(I534*H534,2)</f>
        <v>0</v>
      </c>
      <c r="K534" s="23" t="e">
        <f>ROUND(G534/J534,4)</f>
        <v>#DIV/0!</v>
      </c>
      <c r="L534" s="24" t="e">
        <f>1-K534</f>
        <v>#DIV/0!</v>
      </c>
      <c r="M534" s="25"/>
      <c r="N534" s="25"/>
      <c r="O534" s="26" t="s">
        <v>2681</v>
      </c>
      <c r="P534" s="27" t="s">
        <v>2684</v>
      </c>
      <c r="Q534" s="27" t="s">
        <v>25</v>
      </c>
      <c r="R534" s="21" t="s">
        <v>26</v>
      </c>
      <c r="S534" s="29"/>
      <c r="T534" s="1"/>
    </row>
    <row r="535" spans="1:34" x14ac:dyDescent="0.3">
      <c r="A535" s="16">
        <v>531</v>
      </c>
      <c r="B535" s="17" t="s">
        <v>2685</v>
      </c>
      <c r="C535" s="18" t="s">
        <v>2686</v>
      </c>
      <c r="D535" s="19">
        <v>46017</v>
      </c>
      <c r="E535" s="49"/>
      <c r="F535" s="49"/>
      <c r="G535" s="20"/>
      <c r="H535" s="20"/>
      <c r="I535" s="21">
        <v>77.884399999999999</v>
      </c>
      <c r="J535" s="22">
        <f>ROUND(I535*H535,2)</f>
        <v>0</v>
      </c>
      <c r="K535" s="23" t="e">
        <f>ROUND(G535/J535,4)</f>
        <v>#DIV/0!</v>
      </c>
      <c r="L535" s="24" t="e">
        <f>1-K535</f>
        <v>#DIV/0!</v>
      </c>
      <c r="M535" s="25" t="s">
        <v>2687</v>
      </c>
      <c r="N535" s="25" t="s">
        <v>2688</v>
      </c>
      <c r="O535" s="26" t="s">
        <v>2689</v>
      </c>
      <c r="P535" s="27" t="s">
        <v>687</v>
      </c>
      <c r="Q535" s="27" t="s">
        <v>25</v>
      </c>
      <c r="R535" s="21" t="s">
        <v>26</v>
      </c>
      <c r="S535" s="29">
        <v>470</v>
      </c>
      <c r="T535" s="1"/>
    </row>
    <row r="536" spans="1:34" x14ac:dyDescent="0.3">
      <c r="A536" s="16">
        <v>532</v>
      </c>
      <c r="B536" s="17" t="s">
        <v>2690</v>
      </c>
      <c r="C536" s="18" t="s">
        <v>2691</v>
      </c>
      <c r="D536" s="19">
        <v>46017</v>
      </c>
      <c r="E536" s="49"/>
      <c r="F536" s="49"/>
      <c r="G536" s="20"/>
      <c r="H536" s="20"/>
      <c r="I536" s="21">
        <v>77.884399999999999</v>
      </c>
      <c r="J536" s="22">
        <f>ROUND(I536*H536,2)</f>
        <v>0</v>
      </c>
      <c r="K536" s="23" t="e">
        <f>ROUND(G536/J536,4)</f>
        <v>#DIV/0!</v>
      </c>
      <c r="L536" s="24" t="e">
        <f>1-K536</f>
        <v>#DIV/0!</v>
      </c>
      <c r="M536" s="25" t="s">
        <v>2692</v>
      </c>
      <c r="N536" s="25" t="s">
        <v>2693</v>
      </c>
      <c r="O536" s="26" t="s">
        <v>2694</v>
      </c>
      <c r="P536" s="27" t="s">
        <v>1617</v>
      </c>
      <c r="Q536" s="27" t="s">
        <v>25</v>
      </c>
      <c r="R536" s="21" t="s">
        <v>26</v>
      </c>
      <c r="S536" s="29">
        <v>471</v>
      </c>
      <c r="T536" s="1"/>
    </row>
    <row r="537" spans="1:34" x14ac:dyDescent="0.3">
      <c r="A537" s="16">
        <v>533</v>
      </c>
      <c r="B537" s="17" t="s">
        <v>2695</v>
      </c>
      <c r="C537" s="18" t="s">
        <v>2696</v>
      </c>
      <c r="D537" s="19">
        <v>46017</v>
      </c>
      <c r="E537" s="49"/>
      <c r="F537" s="49"/>
      <c r="G537" s="20"/>
      <c r="H537" s="20"/>
      <c r="I537" s="21">
        <v>77.884399999999999</v>
      </c>
      <c r="J537" s="22">
        <f>ROUND(I537*H537,2)</f>
        <v>0</v>
      </c>
      <c r="K537" s="23" t="e">
        <f>ROUND(G537/J537,4)</f>
        <v>#DIV/0!</v>
      </c>
      <c r="L537" s="24" t="e">
        <f>1-K537</f>
        <v>#DIV/0!</v>
      </c>
      <c r="M537" s="25" t="s">
        <v>2697</v>
      </c>
      <c r="N537" s="25" t="s">
        <v>2698</v>
      </c>
      <c r="O537" s="26" t="s">
        <v>2699</v>
      </c>
      <c r="P537" s="27" t="s">
        <v>319</v>
      </c>
      <c r="Q537" s="27" t="s">
        <v>25</v>
      </c>
      <c r="R537" s="64" t="s">
        <v>39</v>
      </c>
      <c r="S537" s="29">
        <v>472</v>
      </c>
      <c r="T537" s="1"/>
    </row>
    <row r="538" spans="1:34" x14ac:dyDescent="0.3">
      <c r="A538" s="16">
        <v>534</v>
      </c>
      <c r="B538" s="17" t="s">
        <v>2700</v>
      </c>
      <c r="C538" s="34" t="s">
        <v>2701</v>
      </c>
      <c r="D538" s="19">
        <v>46017</v>
      </c>
      <c r="E538" s="49"/>
      <c r="F538" s="49"/>
      <c r="G538" s="20"/>
      <c r="H538" s="20"/>
      <c r="I538" s="21">
        <v>77.884399999999999</v>
      </c>
      <c r="J538" s="22">
        <f>ROUND(I538*H538,2)</f>
        <v>0</v>
      </c>
      <c r="K538" s="23" t="e">
        <f>ROUND(G538/J538,4)</f>
        <v>#DIV/0!</v>
      </c>
      <c r="L538" s="24" t="e">
        <f>1-K538</f>
        <v>#DIV/0!</v>
      </c>
      <c r="M538" s="25" t="s">
        <v>2702</v>
      </c>
      <c r="N538" s="25" t="s">
        <v>2703</v>
      </c>
      <c r="O538" s="26" t="s">
        <v>2704</v>
      </c>
      <c r="P538" s="27" t="s">
        <v>250</v>
      </c>
      <c r="Q538" s="27" t="s">
        <v>25</v>
      </c>
      <c r="R538" s="21" t="s">
        <v>26</v>
      </c>
      <c r="S538" s="29">
        <v>473</v>
      </c>
      <c r="T538" s="1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 spans="1:34" x14ac:dyDescent="0.3">
      <c r="A539" s="31">
        <v>535</v>
      </c>
      <c r="B539" s="26" t="s">
        <v>2705</v>
      </c>
      <c r="C539" s="27" t="s">
        <v>2706</v>
      </c>
      <c r="D539" s="19">
        <v>46017</v>
      </c>
      <c r="E539" s="49"/>
      <c r="F539" s="49"/>
      <c r="G539" s="20"/>
      <c r="H539" s="20"/>
      <c r="I539" s="21">
        <v>77.884399999999999</v>
      </c>
      <c r="J539" s="22">
        <f>ROUND(I539*H539,2)</f>
        <v>0</v>
      </c>
      <c r="K539" s="23" t="e">
        <f>ROUND(G539/J539,4)</f>
        <v>#DIV/0!</v>
      </c>
      <c r="L539" s="24" t="e">
        <f>1-K539</f>
        <v>#DIV/0!</v>
      </c>
      <c r="M539" s="25"/>
      <c r="N539" s="25"/>
      <c r="O539" s="26" t="s">
        <v>2707</v>
      </c>
      <c r="P539" s="27" t="s">
        <v>1030</v>
      </c>
      <c r="Q539" s="27" t="s">
        <v>25</v>
      </c>
      <c r="R539" s="21" t="s">
        <v>39</v>
      </c>
      <c r="S539" s="29"/>
      <c r="T539" s="1"/>
    </row>
    <row r="540" spans="1:34" x14ac:dyDescent="0.3">
      <c r="A540" s="31">
        <v>536</v>
      </c>
      <c r="B540" s="26" t="s">
        <v>2708</v>
      </c>
      <c r="C540" s="27" t="s">
        <v>2709</v>
      </c>
      <c r="D540" s="19">
        <v>46017</v>
      </c>
      <c r="E540" s="49"/>
      <c r="F540" s="49"/>
      <c r="G540" s="20"/>
      <c r="H540" s="20"/>
      <c r="I540" s="21">
        <v>77.884399999999999</v>
      </c>
      <c r="J540" s="22">
        <f>ROUND(I540*H540,2)</f>
        <v>0</v>
      </c>
      <c r="K540" s="23" t="e">
        <f>ROUND(G540/J540,4)</f>
        <v>#DIV/0!</v>
      </c>
      <c r="L540" s="24" t="e">
        <f>1-K540</f>
        <v>#DIV/0!</v>
      </c>
      <c r="M540" s="25"/>
      <c r="N540" s="25"/>
      <c r="O540" s="26" t="s">
        <v>2710</v>
      </c>
      <c r="P540" s="27" t="s">
        <v>57</v>
      </c>
      <c r="Q540" s="27" t="s">
        <v>25</v>
      </c>
      <c r="R540" s="21" t="s">
        <v>39</v>
      </c>
      <c r="S540" s="29"/>
      <c r="T540" s="1"/>
    </row>
    <row r="541" spans="1:34" x14ac:dyDescent="0.3">
      <c r="A541" s="16">
        <v>537</v>
      </c>
      <c r="B541" s="17" t="s">
        <v>2711</v>
      </c>
      <c r="C541" s="18" t="s">
        <v>2712</v>
      </c>
      <c r="D541" s="19">
        <v>46017</v>
      </c>
      <c r="E541" s="49"/>
      <c r="F541" s="49"/>
      <c r="G541" s="20"/>
      <c r="H541" s="20"/>
      <c r="I541" s="21">
        <v>77.884399999999999</v>
      </c>
      <c r="J541" s="22">
        <f>ROUND(I541*H541,2)</f>
        <v>0</v>
      </c>
      <c r="K541" s="23" t="e">
        <f>ROUND(G541/J541,4)</f>
        <v>#DIV/0!</v>
      </c>
      <c r="L541" s="24" t="e">
        <f>1-K541</f>
        <v>#DIV/0!</v>
      </c>
      <c r="M541" s="25" t="s">
        <v>2713</v>
      </c>
      <c r="N541" s="25" t="s">
        <v>2714</v>
      </c>
      <c r="O541" s="26" t="s">
        <v>2715</v>
      </c>
      <c r="P541" s="27" t="s">
        <v>24</v>
      </c>
      <c r="Q541" s="27" t="s">
        <v>25</v>
      </c>
      <c r="R541" s="21" t="s">
        <v>26</v>
      </c>
      <c r="S541" s="29">
        <v>474</v>
      </c>
      <c r="T541" s="1"/>
    </row>
    <row r="542" spans="1:34" x14ac:dyDescent="0.3">
      <c r="A542" s="16">
        <v>538</v>
      </c>
      <c r="B542" s="17" t="s">
        <v>2716</v>
      </c>
      <c r="C542" s="18" t="s">
        <v>2717</v>
      </c>
      <c r="D542" s="19">
        <v>46017</v>
      </c>
      <c r="E542" s="49"/>
      <c r="F542" s="49"/>
      <c r="G542" s="20"/>
      <c r="H542" s="20"/>
      <c r="I542" s="21">
        <v>77.884399999999999</v>
      </c>
      <c r="J542" s="22">
        <f>ROUND(I542*H542,2)</f>
        <v>0</v>
      </c>
      <c r="K542" s="23" t="e">
        <f>ROUND(G542/J542,4)</f>
        <v>#DIV/0!</v>
      </c>
      <c r="L542" s="24" t="e">
        <f>1-K542</f>
        <v>#DIV/0!</v>
      </c>
      <c r="M542" s="25" t="s">
        <v>2718</v>
      </c>
      <c r="N542" s="25" t="s">
        <v>2719</v>
      </c>
      <c r="O542" s="26" t="s">
        <v>2720</v>
      </c>
      <c r="P542" s="27" t="s">
        <v>189</v>
      </c>
      <c r="Q542" s="27" t="s">
        <v>25</v>
      </c>
      <c r="R542" s="21" t="s">
        <v>39</v>
      </c>
      <c r="S542" s="29">
        <v>475</v>
      </c>
      <c r="T542" s="1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 spans="1:34" x14ac:dyDescent="0.3">
      <c r="A543" s="16">
        <v>539</v>
      </c>
      <c r="B543" s="17" t="s">
        <v>2721</v>
      </c>
      <c r="C543" s="18" t="s">
        <v>2722</v>
      </c>
      <c r="D543" s="19">
        <v>46017</v>
      </c>
      <c r="E543" s="49"/>
      <c r="F543" s="49"/>
      <c r="G543" s="20"/>
      <c r="H543" s="20"/>
      <c r="I543" s="21">
        <v>77.884399999999999</v>
      </c>
      <c r="J543" s="22">
        <f>ROUND(I543*H543,2)</f>
        <v>0</v>
      </c>
      <c r="K543" s="23" t="e">
        <f>ROUND(G543/J543,4)</f>
        <v>#DIV/0!</v>
      </c>
      <c r="L543" s="24" t="e">
        <f>1-K543</f>
        <v>#DIV/0!</v>
      </c>
      <c r="M543" s="25" t="s">
        <v>2723</v>
      </c>
      <c r="N543" s="25" t="s">
        <v>2724</v>
      </c>
      <c r="O543" s="26" t="s">
        <v>2725</v>
      </c>
      <c r="P543" s="27" t="s">
        <v>319</v>
      </c>
      <c r="Q543" s="27" t="s">
        <v>25</v>
      </c>
      <c r="R543" s="64" t="s">
        <v>39</v>
      </c>
      <c r="S543" s="29">
        <v>476</v>
      </c>
      <c r="T543" s="1"/>
    </row>
    <row r="544" spans="1:34" x14ac:dyDescent="0.3">
      <c r="A544" s="16">
        <v>540</v>
      </c>
      <c r="B544" s="17" t="s">
        <v>2726</v>
      </c>
      <c r="C544" s="18" t="s">
        <v>2727</v>
      </c>
      <c r="D544" s="19">
        <v>46017</v>
      </c>
      <c r="E544" s="49"/>
      <c r="F544" s="49"/>
      <c r="G544" s="20"/>
      <c r="H544" s="20"/>
      <c r="I544" s="21">
        <v>77.884399999999999</v>
      </c>
      <c r="J544" s="22">
        <f>ROUND(I544*H544,2)</f>
        <v>0</v>
      </c>
      <c r="K544" s="23" t="e">
        <f>ROUND(G544/J544,4)</f>
        <v>#DIV/0!</v>
      </c>
      <c r="L544" s="24" t="e">
        <f>1-K544</f>
        <v>#DIV/0!</v>
      </c>
      <c r="M544" s="25" t="s">
        <v>2728</v>
      </c>
      <c r="N544" s="25" t="s">
        <v>2729</v>
      </c>
      <c r="O544" s="26" t="s">
        <v>2730</v>
      </c>
      <c r="P544" s="27" t="s">
        <v>2731</v>
      </c>
      <c r="Q544" s="27" t="s">
        <v>25</v>
      </c>
      <c r="R544" s="21" t="s">
        <v>26</v>
      </c>
      <c r="S544" s="29">
        <v>477</v>
      </c>
      <c r="T544" s="1"/>
    </row>
    <row r="545" spans="1:34" x14ac:dyDescent="0.3">
      <c r="A545" s="16">
        <v>541</v>
      </c>
      <c r="B545" s="17" t="s">
        <v>2732</v>
      </c>
      <c r="C545" s="18" t="s">
        <v>2733</v>
      </c>
      <c r="D545" s="19">
        <v>46017</v>
      </c>
      <c r="E545" s="49"/>
      <c r="F545" s="49"/>
      <c r="G545" s="20"/>
      <c r="H545" s="20"/>
      <c r="I545" s="21">
        <v>77.884399999999999</v>
      </c>
      <c r="J545" s="22">
        <f>ROUND(I545*H545,2)</f>
        <v>0</v>
      </c>
      <c r="K545" s="23" t="e">
        <f>ROUND(G545/J545,4)</f>
        <v>#DIV/0!</v>
      </c>
      <c r="L545" s="24" t="e">
        <f>1-K545</f>
        <v>#DIV/0!</v>
      </c>
      <c r="M545" s="25" t="s">
        <v>2734</v>
      </c>
      <c r="N545" s="25" t="s">
        <v>2735</v>
      </c>
      <c r="O545" s="26" t="s">
        <v>2736</v>
      </c>
      <c r="P545" s="27" t="s">
        <v>74</v>
      </c>
      <c r="Q545" s="27" t="s">
        <v>25</v>
      </c>
      <c r="R545" s="64" t="s">
        <v>39</v>
      </c>
      <c r="S545" s="29">
        <v>478</v>
      </c>
      <c r="T545" s="1"/>
    </row>
    <row r="546" spans="1:34" x14ac:dyDescent="0.3">
      <c r="A546" s="16">
        <v>542</v>
      </c>
      <c r="B546" s="17" t="s">
        <v>2737</v>
      </c>
      <c r="C546" s="18" t="s">
        <v>2738</v>
      </c>
      <c r="D546" s="19">
        <v>46017</v>
      </c>
      <c r="E546" s="49"/>
      <c r="F546" s="49"/>
      <c r="G546" s="20"/>
      <c r="H546" s="20"/>
      <c r="I546" s="21">
        <v>77.884399999999999</v>
      </c>
      <c r="J546" s="22">
        <f>ROUND(I546*H546,2)</f>
        <v>0</v>
      </c>
      <c r="K546" s="23" t="e">
        <f>ROUND(G546/J546,4)</f>
        <v>#DIV/0!</v>
      </c>
      <c r="L546" s="24" t="e">
        <f>1-K546</f>
        <v>#DIV/0!</v>
      </c>
      <c r="M546" s="25" t="s">
        <v>2739</v>
      </c>
      <c r="N546" s="25" t="s">
        <v>2740</v>
      </c>
      <c r="O546" s="26" t="s">
        <v>2741</v>
      </c>
      <c r="P546" s="27" t="s">
        <v>687</v>
      </c>
      <c r="Q546" s="27" t="s">
        <v>25</v>
      </c>
      <c r="R546" s="21" t="s">
        <v>39</v>
      </c>
      <c r="S546" s="29">
        <v>479</v>
      </c>
      <c r="T546" s="1"/>
    </row>
    <row r="547" spans="1:34" x14ac:dyDescent="0.3">
      <c r="A547" s="16">
        <v>543</v>
      </c>
      <c r="B547" s="17" t="s">
        <v>2742</v>
      </c>
      <c r="C547" s="18" t="s">
        <v>2743</v>
      </c>
      <c r="D547" s="19">
        <v>46017</v>
      </c>
      <c r="E547" s="49"/>
      <c r="F547" s="49"/>
      <c r="G547" s="20"/>
      <c r="H547" s="20"/>
      <c r="I547" s="21">
        <v>77.884399999999999</v>
      </c>
      <c r="J547" s="22">
        <f>ROUND(I547*H547,2)</f>
        <v>0</v>
      </c>
      <c r="K547" s="23" t="e">
        <f>ROUND(G547/J547,4)</f>
        <v>#DIV/0!</v>
      </c>
      <c r="L547" s="24" t="e">
        <f>1-K547</f>
        <v>#DIV/0!</v>
      </c>
      <c r="M547" s="25" t="s">
        <v>2744</v>
      </c>
      <c r="N547" s="25" t="s">
        <v>2745</v>
      </c>
      <c r="O547" s="26" t="s">
        <v>2746</v>
      </c>
      <c r="P547" s="27" t="s">
        <v>74</v>
      </c>
      <c r="Q547" s="27" t="s">
        <v>25</v>
      </c>
      <c r="R547" s="21" t="s">
        <v>26</v>
      </c>
      <c r="S547" s="29">
        <v>480</v>
      </c>
      <c r="T547" s="1"/>
    </row>
    <row r="548" spans="1:34" x14ac:dyDescent="0.3">
      <c r="A548" s="31">
        <v>544</v>
      </c>
      <c r="B548" s="26" t="s">
        <v>2747</v>
      </c>
      <c r="C548" s="27" t="s">
        <v>2748</v>
      </c>
      <c r="D548" s="19">
        <v>46017</v>
      </c>
      <c r="E548" s="49"/>
      <c r="F548" s="49"/>
      <c r="G548" s="20"/>
      <c r="H548" s="20"/>
      <c r="I548" s="21">
        <v>77.884399999999999</v>
      </c>
      <c r="J548" s="22">
        <f>ROUND(I548*H548,2)</f>
        <v>0</v>
      </c>
      <c r="K548" s="23" t="e">
        <f>ROUND(G548/J548,4)</f>
        <v>#DIV/0!</v>
      </c>
      <c r="L548" s="24" t="e">
        <f>1-K548</f>
        <v>#DIV/0!</v>
      </c>
      <c r="M548" s="25"/>
      <c r="N548" s="25"/>
      <c r="O548" s="26" t="s">
        <v>2749</v>
      </c>
      <c r="P548" s="27" t="s">
        <v>2750</v>
      </c>
      <c r="Q548" s="27" t="s">
        <v>25</v>
      </c>
      <c r="R548" s="21" t="s">
        <v>39</v>
      </c>
      <c r="S548" s="29"/>
      <c r="T548" s="1"/>
    </row>
    <row r="549" spans="1:34" x14ac:dyDescent="0.3">
      <c r="A549" s="31">
        <v>545</v>
      </c>
      <c r="B549" s="26" t="s">
        <v>2751</v>
      </c>
      <c r="C549" s="27" t="s">
        <v>2752</v>
      </c>
      <c r="D549" s="19">
        <v>46017</v>
      </c>
      <c r="E549" s="49"/>
      <c r="F549" s="49"/>
      <c r="G549" s="20"/>
      <c r="H549" s="20"/>
      <c r="I549" s="21">
        <v>77.884399999999999</v>
      </c>
      <c r="J549" s="22">
        <f>ROUND(I549*H549,2)</f>
        <v>0</v>
      </c>
      <c r="K549" s="23" t="e">
        <f>ROUND(G549/J549,4)</f>
        <v>#DIV/0!</v>
      </c>
      <c r="L549" s="24" t="e">
        <f>1-K549</f>
        <v>#DIV/0!</v>
      </c>
      <c r="M549" s="25"/>
      <c r="N549" s="25"/>
      <c r="O549" s="26" t="s">
        <v>2753</v>
      </c>
      <c r="P549" s="27" t="s">
        <v>2754</v>
      </c>
      <c r="Q549" s="27" t="s">
        <v>25</v>
      </c>
      <c r="R549" s="21" t="s">
        <v>26</v>
      </c>
      <c r="S549" s="29"/>
      <c r="T549" s="1"/>
    </row>
    <row r="550" spans="1:34" x14ac:dyDescent="0.3">
      <c r="A550" s="31">
        <v>546</v>
      </c>
      <c r="B550" s="26" t="s">
        <v>2755</v>
      </c>
      <c r="C550" s="27" t="s">
        <v>2756</v>
      </c>
      <c r="D550" s="19">
        <v>46017</v>
      </c>
      <c r="E550" s="49"/>
      <c r="F550" s="49"/>
      <c r="G550" s="20"/>
      <c r="H550" s="20"/>
      <c r="I550" s="21">
        <v>77.884399999999999</v>
      </c>
      <c r="J550" s="22">
        <f>ROUND(I550*H550,2)</f>
        <v>0</v>
      </c>
      <c r="K550" s="23" t="e">
        <f>ROUND(G550/J550,4)</f>
        <v>#DIV/0!</v>
      </c>
      <c r="L550" s="24" t="e">
        <f>1-K550</f>
        <v>#DIV/0!</v>
      </c>
      <c r="M550" s="25"/>
      <c r="N550" s="25"/>
      <c r="O550" s="26" t="s">
        <v>2757</v>
      </c>
      <c r="P550" s="27" t="s">
        <v>2758</v>
      </c>
      <c r="Q550" s="27" t="s">
        <v>25</v>
      </c>
      <c r="R550" s="21" t="s">
        <v>26</v>
      </c>
      <c r="S550" s="29"/>
      <c r="T550" s="1"/>
    </row>
    <row r="551" spans="1:34" x14ac:dyDescent="0.3">
      <c r="A551" s="16">
        <v>547</v>
      </c>
      <c r="B551" s="17" t="s">
        <v>2759</v>
      </c>
      <c r="C551" s="18" t="s">
        <v>2760</v>
      </c>
      <c r="D551" s="19">
        <v>46017</v>
      </c>
      <c r="E551" s="49"/>
      <c r="F551" s="49"/>
      <c r="G551" s="20"/>
      <c r="H551" s="20"/>
      <c r="I551" s="21">
        <v>77.884399999999999</v>
      </c>
      <c r="J551" s="22">
        <f>ROUND(I551*H551,2)</f>
        <v>0</v>
      </c>
      <c r="K551" s="23" t="e">
        <f>ROUND(G551/J551,4)</f>
        <v>#DIV/0!</v>
      </c>
      <c r="L551" s="24" t="e">
        <f>1-K551</f>
        <v>#DIV/0!</v>
      </c>
      <c r="M551" s="25" t="s">
        <v>2761</v>
      </c>
      <c r="N551" s="25" t="s">
        <v>2762</v>
      </c>
      <c r="O551" s="26" t="s">
        <v>2763</v>
      </c>
      <c r="P551" s="27" t="s">
        <v>308</v>
      </c>
      <c r="Q551" s="27" t="s">
        <v>25</v>
      </c>
      <c r="R551" s="21" t="s">
        <v>26</v>
      </c>
      <c r="S551" s="29">
        <v>481</v>
      </c>
      <c r="T551" s="1"/>
    </row>
    <row r="552" spans="1:34" x14ac:dyDescent="0.3">
      <c r="A552" s="31">
        <v>548</v>
      </c>
      <c r="B552" s="26" t="s">
        <v>2764</v>
      </c>
      <c r="C552" s="27" t="s">
        <v>2765</v>
      </c>
      <c r="D552" s="19">
        <v>46017</v>
      </c>
      <c r="E552" s="49"/>
      <c r="F552" s="49"/>
      <c r="G552" s="20"/>
      <c r="H552" s="20"/>
      <c r="I552" s="21">
        <v>77.884399999999999</v>
      </c>
      <c r="J552" s="22">
        <f>ROUND(I552*H552,2)</f>
        <v>0</v>
      </c>
      <c r="K552" s="23" t="e">
        <f>ROUND(G552/J552,4)</f>
        <v>#DIV/0!</v>
      </c>
      <c r="L552" s="24" t="e">
        <f>1-K552</f>
        <v>#DIV/0!</v>
      </c>
      <c r="M552" s="25" t="s">
        <v>2766</v>
      </c>
      <c r="N552" s="25" t="s">
        <v>2767</v>
      </c>
      <c r="O552" s="26" t="s">
        <v>2768</v>
      </c>
      <c r="P552" s="27" t="s">
        <v>2769</v>
      </c>
      <c r="Q552" s="27" t="s">
        <v>25</v>
      </c>
      <c r="R552" s="21" t="s">
        <v>26</v>
      </c>
      <c r="S552" s="29">
        <v>482</v>
      </c>
      <c r="T552" s="1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 spans="1:34" x14ac:dyDescent="0.3">
      <c r="A553" s="31">
        <v>549</v>
      </c>
      <c r="B553" s="26" t="s">
        <v>2770</v>
      </c>
      <c r="C553" s="27" t="s">
        <v>2771</v>
      </c>
      <c r="D553" s="19">
        <v>46017</v>
      </c>
      <c r="E553" s="49"/>
      <c r="F553" s="49"/>
      <c r="G553" s="20"/>
      <c r="H553" s="20"/>
      <c r="I553" s="21">
        <v>77.884399999999999</v>
      </c>
      <c r="J553" s="22">
        <f>ROUND(I553*H553,2)</f>
        <v>0</v>
      </c>
      <c r="K553" s="23" t="e">
        <f>ROUND(G553/J553,4)</f>
        <v>#DIV/0!</v>
      </c>
      <c r="L553" s="24" t="e">
        <f>1-K553</f>
        <v>#DIV/0!</v>
      </c>
      <c r="M553" s="25"/>
      <c r="N553" s="25"/>
      <c r="O553" s="26" t="s">
        <v>2772</v>
      </c>
      <c r="P553" s="27" t="s">
        <v>2773</v>
      </c>
      <c r="Q553" s="27" t="s">
        <v>25</v>
      </c>
      <c r="R553" s="64" t="s">
        <v>26</v>
      </c>
      <c r="S553" s="29"/>
      <c r="T553" s="1"/>
    </row>
    <row r="554" spans="1:34" x14ac:dyDescent="0.3">
      <c r="A554" s="31">
        <v>550</v>
      </c>
      <c r="B554" s="26" t="s">
        <v>2774</v>
      </c>
      <c r="C554" s="27" t="s">
        <v>2775</v>
      </c>
      <c r="D554" s="19">
        <v>46017</v>
      </c>
      <c r="E554" s="49"/>
      <c r="F554" s="49"/>
      <c r="G554" s="20"/>
      <c r="H554" s="20"/>
      <c r="I554" s="21">
        <v>77.884399999999999</v>
      </c>
      <c r="J554" s="22">
        <f>ROUND(I554*H554,2)</f>
        <v>0</v>
      </c>
      <c r="K554" s="23" t="e">
        <f>ROUND(G554/J554,4)</f>
        <v>#DIV/0!</v>
      </c>
      <c r="L554" s="24" t="e">
        <f>1-K554</f>
        <v>#DIV/0!</v>
      </c>
      <c r="M554" s="25"/>
      <c r="N554" s="25"/>
      <c r="O554" s="26" t="s">
        <v>2776</v>
      </c>
      <c r="P554" s="27" t="s">
        <v>2777</v>
      </c>
      <c r="Q554" s="27" t="s">
        <v>25</v>
      </c>
      <c r="R554" s="21" t="s">
        <v>26</v>
      </c>
      <c r="S554" s="29"/>
      <c r="T554" s="1"/>
    </row>
    <row r="555" spans="1:34" s="55" customFormat="1" x14ac:dyDescent="0.3">
      <c r="A555" s="16">
        <v>551</v>
      </c>
      <c r="B555" s="17" t="s">
        <v>2778</v>
      </c>
      <c r="C555" s="18" t="s">
        <v>2779</v>
      </c>
      <c r="D555" s="19">
        <v>46017</v>
      </c>
      <c r="E555" s="49"/>
      <c r="F555" s="49"/>
      <c r="G555" s="20"/>
      <c r="H555" s="20"/>
      <c r="I555" s="21">
        <v>77.884399999999999</v>
      </c>
      <c r="J555" s="22">
        <f>ROUND(I555*H555,2)</f>
        <v>0</v>
      </c>
      <c r="K555" s="23" t="e">
        <f>ROUND(G555/J555,4)</f>
        <v>#DIV/0!</v>
      </c>
      <c r="L555" s="24" t="e">
        <f>1-K555</f>
        <v>#DIV/0!</v>
      </c>
      <c r="M555" s="25" t="s">
        <v>2780</v>
      </c>
      <c r="N555" s="25" t="s">
        <v>2781</v>
      </c>
      <c r="O555" s="26" t="s">
        <v>2782</v>
      </c>
      <c r="P555" s="27" t="s">
        <v>38</v>
      </c>
      <c r="Q555" s="27" t="s">
        <v>25</v>
      </c>
      <c r="R555" s="21" t="s">
        <v>26</v>
      </c>
      <c r="S555" s="29">
        <v>483</v>
      </c>
      <c r="T555" s="1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</row>
    <row r="556" spans="1:34" x14ac:dyDescent="0.3">
      <c r="A556" s="38">
        <v>552</v>
      </c>
      <c r="B556" s="32" t="s">
        <v>2783</v>
      </c>
      <c r="C556" s="33" t="s">
        <v>2784</v>
      </c>
      <c r="D556" s="19">
        <v>46017</v>
      </c>
      <c r="E556" s="54"/>
      <c r="F556" s="54"/>
      <c r="G556" s="20"/>
      <c r="H556" s="20"/>
      <c r="I556" s="21">
        <v>77.884399999999999</v>
      </c>
      <c r="J556" s="22">
        <f>ROUND(I556*H556,2)</f>
        <v>0</v>
      </c>
      <c r="K556" s="23" t="e">
        <f>ROUND(G556/J556,4)</f>
        <v>#DIV/0!</v>
      </c>
      <c r="L556" s="24" t="e">
        <f>1-K556</f>
        <v>#DIV/0!</v>
      </c>
      <c r="M556" s="40" t="s">
        <v>2785</v>
      </c>
      <c r="N556" s="40" t="s">
        <v>2786</v>
      </c>
      <c r="O556" s="41" t="s">
        <v>3878</v>
      </c>
      <c r="P556" s="42" t="s">
        <v>2787</v>
      </c>
      <c r="Q556" s="42" t="s">
        <v>25</v>
      </c>
      <c r="R556" s="21" t="s">
        <v>39</v>
      </c>
      <c r="S556" s="29">
        <v>484</v>
      </c>
      <c r="T556" s="44"/>
      <c r="U556" s="55"/>
      <c r="V556" s="5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</row>
    <row r="557" spans="1:34" x14ac:dyDescent="0.3">
      <c r="A557" s="16">
        <v>553</v>
      </c>
      <c r="B557" s="17" t="s">
        <v>2788</v>
      </c>
      <c r="C557" s="18" t="s">
        <v>2789</v>
      </c>
      <c r="D557" s="19">
        <v>46017</v>
      </c>
      <c r="E557" s="49"/>
      <c r="F557" s="49"/>
      <c r="G557" s="20"/>
      <c r="H557" s="20"/>
      <c r="I557" s="21">
        <v>77.884399999999999</v>
      </c>
      <c r="J557" s="22">
        <f>ROUND(I557*H557,2)</f>
        <v>0</v>
      </c>
      <c r="K557" s="23" t="e">
        <f>ROUND(G557/J557,4)</f>
        <v>#DIV/0!</v>
      </c>
      <c r="L557" s="24" t="e">
        <f>1-K557</f>
        <v>#DIV/0!</v>
      </c>
      <c r="M557" s="25" t="s">
        <v>2790</v>
      </c>
      <c r="N557" s="25" t="s">
        <v>2791</v>
      </c>
      <c r="O557" s="26" t="s">
        <v>2792</v>
      </c>
      <c r="P557" s="27" t="s">
        <v>1248</v>
      </c>
      <c r="Q557" s="27" t="s">
        <v>25</v>
      </c>
      <c r="R557" s="65" t="s">
        <v>26</v>
      </c>
      <c r="S557" s="29">
        <v>485</v>
      </c>
      <c r="T557" s="1"/>
    </row>
    <row r="558" spans="1:34" x14ac:dyDescent="0.3">
      <c r="A558" s="16">
        <v>554</v>
      </c>
      <c r="B558" s="17" t="s">
        <v>2793</v>
      </c>
      <c r="C558" s="18" t="s">
        <v>2794</v>
      </c>
      <c r="D558" s="19">
        <v>46017</v>
      </c>
      <c r="E558" s="49"/>
      <c r="F558" s="49"/>
      <c r="G558" s="20"/>
      <c r="H558" s="20"/>
      <c r="I558" s="21">
        <v>77.884399999999999</v>
      </c>
      <c r="J558" s="22">
        <f>ROUND(I558*H558,2)</f>
        <v>0</v>
      </c>
      <c r="K558" s="23" t="e">
        <f>ROUND(G558/J558,4)</f>
        <v>#DIV/0!</v>
      </c>
      <c r="L558" s="24" t="e">
        <f>1-K558</f>
        <v>#DIV/0!</v>
      </c>
      <c r="M558" s="25" t="s">
        <v>2795</v>
      </c>
      <c r="N558" s="25" t="s">
        <v>2796</v>
      </c>
      <c r="O558" s="26" t="s">
        <v>2797</v>
      </c>
      <c r="P558" s="27" t="s">
        <v>32</v>
      </c>
      <c r="Q558" s="27" t="s">
        <v>25</v>
      </c>
      <c r="R558" s="21" t="s">
        <v>39</v>
      </c>
      <c r="S558" s="29">
        <v>486</v>
      </c>
      <c r="T558" s="1"/>
    </row>
    <row r="559" spans="1:34" x14ac:dyDescent="0.3">
      <c r="A559" s="16">
        <v>555</v>
      </c>
      <c r="B559" s="17" t="s">
        <v>2798</v>
      </c>
      <c r="C559" s="18" t="s">
        <v>2799</v>
      </c>
      <c r="D559" s="19">
        <v>46017</v>
      </c>
      <c r="E559" s="49"/>
      <c r="F559" s="49"/>
      <c r="G559" s="20"/>
      <c r="H559" s="20"/>
      <c r="I559" s="21">
        <v>77.884399999999999</v>
      </c>
      <c r="J559" s="22">
        <f>ROUND(I559*H559,2)</f>
        <v>0</v>
      </c>
      <c r="K559" s="23" t="e">
        <f>ROUND(G559/J559,4)</f>
        <v>#DIV/0!</v>
      </c>
      <c r="L559" s="24" t="e">
        <f>1-K559</f>
        <v>#DIV/0!</v>
      </c>
      <c r="M559" s="25" t="s">
        <v>2800</v>
      </c>
      <c r="N559" s="25" t="s">
        <v>2801</v>
      </c>
      <c r="O559" s="26" t="s">
        <v>2802</v>
      </c>
      <c r="P559" s="27" t="s">
        <v>68</v>
      </c>
      <c r="Q559" s="27" t="s">
        <v>25</v>
      </c>
      <c r="R559" s="21" t="s">
        <v>39</v>
      </c>
      <c r="S559" s="29">
        <v>487</v>
      </c>
      <c r="T559" s="1"/>
    </row>
    <row r="560" spans="1:34" x14ac:dyDescent="0.3">
      <c r="A560" s="31">
        <v>556</v>
      </c>
      <c r="B560" s="32" t="s">
        <v>2803</v>
      </c>
      <c r="C560" s="33" t="s">
        <v>2804</v>
      </c>
      <c r="D560" s="19">
        <v>46017</v>
      </c>
      <c r="E560" s="49"/>
      <c r="F560" s="49"/>
      <c r="G560" s="20"/>
      <c r="H560" s="20"/>
      <c r="I560" s="21">
        <v>77.884399999999999</v>
      </c>
      <c r="J560" s="22">
        <f>ROUND(I560*H560,2)</f>
        <v>0</v>
      </c>
      <c r="K560" s="23" t="e">
        <f>ROUND(G560/J560,4)</f>
        <v>#DIV/0!</v>
      </c>
      <c r="L560" s="24" t="e">
        <f>1-K560</f>
        <v>#DIV/0!</v>
      </c>
      <c r="M560" s="25" t="s">
        <v>2805</v>
      </c>
      <c r="N560" s="25" t="s">
        <v>2806</v>
      </c>
      <c r="O560" s="26" t="s">
        <v>2807</v>
      </c>
      <c r="P560" s="27" t="s">
        <v>1687</v>
      </c>
      <c r="Q560" s="27" t="s">
        <v>25</v>
      </c>
      <c r="R560" s="21" t="s">
        <v>39</v>
      </c>
      <c r="S560" s="29">
        <v>488</v>
      </c>
      <c r="T560" s="1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 spans="1:34" x14ac:dyDescent="0.3">
      <c r="A561" s="31">
        <v>557</v>
      </c>
      <c r="B561" s="32" t="s">
        <v>2808</v>
      </c>
      <c r="C561" s="33" t="s">
        <v>2809</v>
      </c>
      <c r="D561" s="19">
        <v>46017</v>
      </c>
      <c r="E561" s="49"/>
      <c r="F561" s="49"/>
      <c r="G561" s="20"/>
      <c r="H561" s="20"/>
      <c r="I561" s="21">
        <v>77.884399999999999</v>
      </c>
      <c r="J561" s="22">
        <f>ROUND(I561*H561,2)</f>
        <v>0</v>
      </c>
      <c r="K561" s="23" t="e">
        <f>ROUND(G561/J561,4)</f>
        <v>#DIV/0!</v>
      </c>
      <c r="L561" s="24" t="e">
        <f>1-K561</f>
        <v>#DIV/0!</v>
      </c>
      <c r="M561" s="25" t="s">
        <v>2810</v>
      </c>
      <c r="N561" s="25" t="s">
        <v>2811</v>
      </c>
      <c r="O561" s="26" t="s">
        <v>2812</v>
      </c>
      <c r="P561" s="27" t="s">
        <v>2813</v>
      </c>
      <c r="Q561" s="27" t="s">
        <v>25</v>
      </c>
      <c r="R561" s="21" t="s">
        <v>39</v>
      </c>
      <c r="S561" s="29">
        <v>489</v>
      </c>
      <c r="T561" s="1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 spans="1:34" x14ac:dyDescent="0.3">
      <c r="A562" s="31">
        <v>558</v>
      </c>
      <c r="B562" s="32" t="s">
        <v>2814</v>
      </c>
      <c r="C562" s="33" t="s">
        <v>2815</v>
      </c>
      <c r="D562" s="19">
        <v>46017</v>
      </c>
      <c r="E562" s="49"/>
      <c r="F562" s="49"/>
      <c r="G562" s="20"/>
      <c r="H562" s="20"/>
      <c r="I562" s="21">
        <v>77.884399999999999</v>
      </c>
      <c r="J562" s="22">
        <f>ROUND(I562*H562,2)</f>
        <v>0</v>
      </c>
      <c r="K562" s="23" t="e">
        <f>ROUND(G562/J562,4)</f>
        <v>#DIV/0!</v>
      </c>
      <c r="L562" s="24" t="e">
        <f>1-K562</f>
        <v>#DIV/0!</v>
      </c>
      <c r="M562" s="25" t="s">
        <v>2816</v>
      </c>
      <c r="N562" s="25" t="s">
        <v>2817</v>
      </c>
      <c r="O562" s="26" t="s">
        <v>2818</v>
      </c>
      <c r="P562" s="27" t="s">
        <v>2819</v>
      </c>
      <c r="Q562" s="27" t="s">
        <v>25</v>
      </c>
      <c r="R562" s="64" t="s">
        <v>39</v>
      </c>
      <c r="S562" s="29">
        <v>490</v>
      </c>
      <c r="T562" s="1"/>
    </row>
    <row r="563" spans="1:34" x14ac:dyDescent="0.3">
      <c r="A563" s="31">
        <v>559</v>
      </c>
      <c r="B563" s="32" t="s">
        <v>2820</v>
      </c>
      <c r="C563" s="33" t="s">
        <v>2821</v>
      </c>
      <c r="D563" s="19">
        <v>46017</v>
      </c>
      <c r="E563" s="49"/>
      <c r="F563" s="49"/>
      <c r="G563" s="20"/>
      <c r="H563" s="20"/>
      <c r="I563" s="21">
        <v>77.884399999999999</v>
      </c>
      <c r="J563" s="22">
        <f>ROUND(I563*H563,2)</f>
        <v>0</v>
      </c>
      <c r="K563" s="23" t="e">
        <f>ROUND(G563/J563,4)</f>
        <v>#DIV/0!</v>
      </c>
      <c r="L563" s="24" t="e">
        <f>1-K563</f>
        <v>#DIV/0!</v>
      </c>
      <c r="M563" s="25" t="s">
        <v>2822</v>
      </c>
      <c r="N563" s="25" t="s">
        <v>2823</v>
      </c>
      <c r="O563" s="26" t="s">
        <v>2824</v>
      </c>
      <c r="P563" s="27" t="s">
        <v>2825</v>
      </c>
      <c r="Q563" s="27" t="s">
        <v>25</v>
      </c>
      <c r="R563" s="21" t="s">
        <v>39</v>
      </c>
      <c r="S563" s="29">
        <v>491</v>
      </c>
      <c r="T563" s="1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 spans="1:34" x14ac:dyDescent="0.3">
      <c r="A564" s="31">
        <v>560</v>
      </c>
      <c r="B564" s="26" t="s">
        <v>2826</v>
      </c>
      <c r="C564" s="27" t="s">
        <v>2827</v>
      </c>
      <c r="D564" s="19">
        <v>46017</v>
      </c>
      <c r="E564" s="49"/>
      <c r="F564" s="49"/>
      <c r="G564" s="20"/>
      <c r="H564" s="20"/>
      <c r="I564" s="21">
        <v>77.884399999999999</v>
      </c>
      <c r="J564" s="22">
        <f>ROUND(I564*H564,2)</f>
        <v>0</v>
      </c>
      <c r="K564" s="23" t="e">
        <f>ROUND(G564/J564,4)</f>
        <v>#DIV/0!</v>
      </c>
      <c r="L564" s="24" t="e">
        <f>1-K564</f>
        <v>#DIV/0!</v>
      </c>
      <c r="M564" s="25"/>
      <c r="N564" s="25"/>
      <c r="O564" s="26" t="s">
        <v>2828</v>
      </c>
      <c r="P564" s="27" t="s">
        <v>2829</v>
      </c>
      <c r="Q564" s="27" t="s">
        <v>25</v>
      </c>
      <c r="R564" s="21" t="s">
        <v>26</v>
      </c>
      <c r="S564" s="29"/>
      <c r="T564" s="1"/>
    </row>
    <row r="565" spans="1:34" x14ac:dyDescent="0.3">
      <c r="A565" s="16">
        <v>561</v>
      </c>
      <c r="B565" s="17" t="s">
        <v>2830</v>
      </c>
      <c r="C565" s="18" t="s">
        <v>2831</v>
      </c>
      <c r="D565" s="19">
        <v>46017</v>
      </c>
      <c r="E565" s="49"/>
      <c r="F565" s="49"/>
      <c r="G565" s="20"/>
      <c r="H565" s="20"/>
      <c r="I565" s="21">
        <v>77.884399999999999</v>
      </c>
      <c r="J565" s="22">
        <f>ROUND(I565*H565,2)</f>
        <v>0</v>
      </c>
      <c r="K565" s="23" t="e">
        <f>ROUND(G565/J565,4)</f>
        <v>#DIV/0!</v>
      </c>
      <c r="L565" s="24" t="e">
        <f>1-K565</f>
        <v>#DIV/0!</v>
      </c>
      <c r="M565" s="25" t="s">
        <v>2832</v>
      </c>
      <c r="N565" s="25" t="s">
        <v>2833</v>
      </c>
      <c r="O565" s="26" t="s">
        <v>2834</v>
      </c>
      <c r="P565" s="27" t="s">
        <v>434</v>
      </c>
      <c r="Q565" s="27" t="s">
        <v>25</v>
      </c>
      <c r="R565" s="21" t="s">
        <v>26</v>
      </c>
      <c r="S565" s="29">
        <v>492</v>
      </c>
      <c r="T565" s="1"/>
    </row>
    <row r="566" spans="1:34" x14ac:dyDescent="0.3">
      <c r="A566" s="16">
        <v>562</v>
      </c>
      <c r="B566" s="17" t="s">
        <v>2835</v>
      </c>
      <c r="C566" s="18" t="s">
        <v>2836</v>
      </c>
      <c r="D566" s="19">
        <v>46017</v>
      </c>
      <c r="E566" s="49"/>
      <c r="F566" s="49"/>
      <c r="G566" s="20"/>
      <c r="H566" s="20"/>
      <c r="I566" s="21">
        <v>77.884399999999999</v>
      </c>
      <c r="J566" s="22">
        <f>ROUND(I566*H566,2)</f>
        <v>0</v>
      </c>
      <c r="K566" s="23" t="e">
        <f>ROUND(G566/J566,4)</f>
        <v>#DIV/0!</v>
      </c>
      <c r="L566" s="24" t="e">
        <f>1-K566</f>
        <v>#DIV/0!</v>
      </c>
      <c r="M566" s="25" t="s">
        <v>2837</v>
      </c>
      <c r="N566" s="25" t="s">
        <v>2838</v>
      </c>
      <c r="O566" s="26" t="s">
        <v>2839</v>
      </c>
      <c r="P566" s="27" t="s">
        <v>174</v>
      </c>
      <c r="Q566" s="27" t="s">
        <v>25</v>
      </c>
      <c r="R566" s="21" t="s">
        <v>26</v>
      </c>
      <c r="S566" s="29">
        <v>493</v>
      </c>
      <c r="T566" s="1"/>
    </row>
    <row r="567" spans="1:34" x14ac:dyDescent="0.3">
      <c r="A567" s="16">
        <v>563</v>
      </c>
      <c r="B567" s="17" t="s">
        <v>2840</v>
      </c>
      <c r="C567" s="18" t="s">
        <v>2841</v>
      </c>
      <c r="D567" s="19">
        <v>46017</v>
      </c>
      <c r="E567" s="49"/>
      <c r="F567" s="49"/>
      <c r="G567" s="20"/>
      <c r="H567" s="20"/>
      <c r="I567" s="21">
        <v>77.884399999999999</v>
      </c>
      <c r="J567" s="22">
        <f>ROUND(I567*H567,2)</f>
        <v>0</v>
      </c>
      <c r="K567" s="23" t="e">
        <f>ROUND(G567/J567,4)</f>
        <v>#DIV/0!</v>
      </c>
      <c r="L567" s="24" t="e">
        <f>1-K567</f>
        <v>#DIV/0!</v>
      </c>
      <c r="M567" s="25" t="s">
        <v>2842</v>
      </c>
      <c r="N567" s="25" t="s">
        <v>2843</v>
      </c>
      <c r="O567" s="26" t="s">
        <v>2844</v>
      </c>
      <c r="P567" s="27" t="s">
        <v>32</v>
      </c>
      <c r="Q567" s="27" t="s">
        <v>25</v>
      </c>
      <c r="R567" s="21" t="s">
        <v>39</v>
      </c>
      <c r="S567" s="29">
        <v>494</v>
      </c>
      <c r="T567" s="1"/>
    </row>
    <row r="568" spans="1:34" x14ac:dyDescent="0.3">
      <c r="A568" s="16">
        <v>564</v>
      </c>
      <c r="B568" s="17" t="s">
        <v>2845</v>
      </c>
      <c r="C568" s="18" t="s">
        <v>2846</v>
      </c>
      <c r="D568" s="19">
        <v>46017</v>
      </c>
      <c r="E568" s="49"/>
      <c r="F568" s="49"/>
      <c r="G568" s="20"/>
      <c r="H568" s="20"/>
      <c r="I568" s="21">
        <v>77.884399999999999</v>
      </c>
      <c r="J568" s="22">
        <f>ROUND(I568*H568,2)</f>
        <v>0</v>
      </c>
      <c r="K568" s="23" t="e">
        <f>ROUND(G568/J568,4)</f>
        <v>#DIV/0!</v>
      </c>
      <c r="L568" s="24" t="e">
        <f>1-K568</f>
        <v>#DIV/0!</v>
      </c>
      <c r="M568" s="25" t="s">
        <v>2847</v>
      </c>
      <c r="N568" s="25" t="s">
        <v>2848</v>
      </c>
      <c r="O568" s="26" t="s">
        <v>2849</v>
      </c>
      <c r="P568" s="27" t="s">
        <v>32</v>
      </c>
      <c r="Q568" s="27" t="s">
        <v>25</v>
      </c>
      <c r="R568" s="21" t="s">
        <v>26</v>
      </c>
      <c r="S568" s="29">
        <v>495</v>
      </c>
      <c r="T568" s="1"/>
    </row>
    <row r="569" spans="1:34" x14ac:dyDescent="0.3">
      <c r="A569" s="31">
        <v>565</v>
      </c>
      <c r="B569" s="26" t="s">
        <v>2850</v>
      </c>
      <c r="C569" s="27" t="s">
        <v>2851</v>
      </c>
      <c r="D569" s="19">
        <v>46017</v>
      </c>
      <c r="E569" s="49"/>
      <c r="F569" s="49"/>
      <c r="G569" s="20"/>
      <c r="H569" s="20"/>
      <c r="I569" s="21">
        <v>77.884399999999999</v>
      </c>
      <c r="J569" s="22">
        <f>ROUND(I569*H569,2)</f>
        <v>0</v>
      </c>
      <c r="K569" s="23" t="e">
        <f>ROUND(G569/J569,4)</f>
        <v>#DIV/0!</v>
      </c>
      <c r="L569" s="24" t="e">
        <f>1-K569</f>
        <v>#DIV/0!</v>
      </c>
      <c r="M569" s="25"/>
      <c r="N569" s="25"/>
      <c r="O569" s="26" t="s">
        <v>2852</v>
      </c>
      <c r="P569" s="27" t="s">
        <v>2853</v>
      </c>
      <c r="Q569" s="27" t="s">
        <v>600</v>
      </c>
      <c r="R569" s="21" t="s">
        <v>39</v>
      </c>
      <c r="S569" s="29"/>
      <c r="T569" s="1"/>
    </row>
    <row r="570" spans="1:34" x14ac:dyDescent="0.3">
      <c r="A570" s="31">
        <v>566</v>
      </c>
      <c r="B570" s="26" t="s">
        <v>2854</v>
      </c>
      <c r="C570" s="27" t="s">
        <v>2855</v>
      </c>
      <c r="D570" s="19">
        <v>46017</v>
      </c>
      <c r="E570" s="49"/>
      <c r="F570" s="49"/>
      <c r="G570" s="20"/>
      <c r="H570" s="20"/>
      <c r="I570" s="21">
        <v>77.884399999999999</v>
      </c>
      <c r="J570" s="22">
        <f>ROUND(I570*H570,2)</f>
        <v>0</v>
      </c>
      <c r="K570" s="23" t="e">
        <f>ROUND(G570/J570,4)</f>
        <v>#DIV/0!</v>
      </c>
      <c r="L570" s="24" t="e">
        <f>1-K570</f>
        <v>#DIV/0!</v>
      </c>
      <c r="M570" s="25"/>
      <c r="N570" s="25"/>
      <c r="O570" s="26" t="s">
        <v>2856</v>
      </c>
      <c r="P570" s="27" t="s">
        <v>383</v>
      </c>
      <c r="Q570" s="27" t="s">
        <v>25</v>
      </c>
      <c r="R570" s="21"/>
      <c r="S570" s="29"/>
      <c r="T570" s="1"/>
    </row>
    <row r="571" spans="1:34" x14ac:dyDescent="0.3">
      <c r="A571" s="16">
        <v>567</v>
      </c>
      <c r="B571" s="17" t="s">
        <v>2857</v>
      </c>
      <c r="C571" s="18" t="s">
        <v>2858</v>
      </c>
      <c r="D571" s="19">
        <v>46017</v>
      </c>
      <c r="E571" s="49"/>
      <c r="F571" s="49"/>
      <c r="G571" s="20"/>
      <c r="H571" s="20"/>
      <c r="I571" s="21">
        <v>77.884399999999999</v>
      </c>
      <c r="J571" s="22">
        <f>ROUND(I571*H571,2)</f>
        <v>0</v>
      </c>
      <c r="K571" s="23" t="e">
        <f>ROUND(G571/J571,4)</f>
        <v>#DIV/0!</v>
      </c>
      <c r="L571" s="24" t="e">
        <f>1-K571</f>
        <v>#DIV/0!</v>
      </c>
      <c r="M571" s="25" t="s">
        <v>2859</v>
      </c>
      <c r="N571" s="25" t="s">
        <v>2860</v>
      </c>
      <c r="O571" s="26" t="s">
        <v>2861</v>
      </c>
      <c r="P571" s="27" t="s">
        <v>134</v>
      </c>
      <c r="Q571" s="27" t="s">
        <v>25</v>
      </c>
      <c r="R571" s="21" t="s">
        <v>26</v>
      </c>
      <c r="S571" s="29">
        <v>496</v>
      </c>
      <c r="T571" s="1"/>
    </row>
    <row r="572" spans="1:34" x14ac:dyDescent="0.3">
      <c r="A572" s="16">
        <v>568</v>
      </c>
      <c r="B572" s="17" t="s">
        <v>2862</v>
      </c>
      <c r="C572" s="18" t="s">
        <v>2863</v>
      </c>
      <c r="D572" s="19">
        <v>46017</v>
      </c>
      <c r="E572" s="49"/>
      <c r="F572" s="49"/>
      <c r="G572" s="20"/>
      <c r="H572" s="20"/>
      <c r="I572" s="21">
        <v>77.884399999999999</v>
      </c>
      <c r="J572" s="22">
        <f>ROUND(I572*H572,2)</f>
        <v>0</v>
      </c>
      <c r="K572" s="23" t="e">
        <f>ROUND(G572/J572,4)</f>
        <v>#DIV/0!</v>
      </c>
      <c r="L572" s="24" t="e">
        <f>1-K572</f>
        <v>#DIV/0!</v>
      </c>
      <c r="M572" s="25" t="s">
        <v>2864</v>
      </c>
      <c r="N572" s="25" t="s">
        <v>2865</v>
      </c>
      <c r="O572" s="26" t="s">
        <v>2866</v>
      </c>
      <c r="P572" s="27" t="s">
        <v>903</v>
      </c>
      <c r="Q572" s="27" t="s">
        <v>25</v>
      </c>
      <c r="R572" s="21" t="s">
        <v>39</v>
      </c>
      <c r="S572" s="29">
        <v>497</v>
      </c>
      <c r="T572" s="1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 spans="1:34" x14ac:dyDescent="0.3">
      <c r="A573" s="16">
        <v>569</v>
      </c>
      <c r="B573" s="17" t="s">
        <v>2867</v>
      </c>
      <c r="C573" s="18" t="s">
        <v>2868</v>
      </c>
      <c r="D573" s="19">
        <v>46017</v>
      </c>
      <c r="E573" s="49"/>
      <c r="F573" s="49"/>
      <c r="G573" s="20"/>
      <c r="H573" s="20"/>
      <c r="I573" s="21">
        <v>77.884399999999999</v>
      </c>
      <c r="J573" s="22">
        <f>ROUND(I573*H573,2)</f>
        <v>0</v>
      </c>
      <c r="K573" s="23" t="e">
        <f>ROUND(G573/J573,4)</f>
        <v>#DIV/0!</v>
      </c>
      <c r="L573" s="24" t="e">
        <f>1-K573</f>
        <v>#DIV/0!</v>
      </c>
      <c r="M573" s="25" t="s">
        <v>2869</v>
      </c>
      <c r="N573" s="25" t="s">
        <v>2870</v>
      </c>
      <c r="O573" s="26" t="s">
        <v>2871</v>
      </c>
      <c r="P573" s="27" t="s">
        <v>189</v>
      </c>
      <c r="Q573" s="27" t="s">
        <v>25</v>
      </c>
      <c r="R573" s="21" t="s">
        <v>26</v>
      </c>
      <c r="S573" s="29">
        <v>498</v>
      </c>
      <c r="T573" s="1"/>
    </row>
    <row r="574" spans="1:34" x14ac:dyDescent="0.3">
      <c r="A574" s="31">
        <v>570</v>
      </c>
      <c r="B574" s="26" t="s">
        <v>2872</v>
      </c>
      <c r="C574" s="27" t="s">
        <v>2873</v>
      </c>
      <c r="D574" s="19">
        <v>46017</v>
      </c>
      <c r="E574" s="49"/>
      <c r="F574" s="49"/>
      <c r="G574" s="20"/>
      <c r="H574" s="20"/>
      <c r="I574" s="21">
        <v>77.884399999999999</v>
      </c>
      <c r="J574" s="22">
        <f>ROUND(I574*H574,2)</f>
        <v>0</v>
      </c>
      <c r="K574" s="23" t="e">
        <f>ROUND(G574/J574,4)</f>
        <v>#DIV/0!</v>
      </c>
      <c r="L574" s="24" t="e">
        <f>1-K574</f>
        <v>#DIV/0!</v>
      </c>
      <c r="M574" s="25"/>
      <c r="N574" s="25"/>
      <c r="O574" s="26" t="s">
        <v>2874</v>
      </c>
      <c r="P574" s="27" t="s">
        <v>1030</v>
      </c>
      <c r="Q574" s="27" t="s">
        <v>25</v>
      </c>
      <c r="R574" s="21" t="s">
        <v>26</v>
      </c>
      <c r="S574" s="29"/>
      <c r="T574" s="1"/>
    </row>
    <row r="575" spans="1:34" x14ac:dyDescent="0.3">
      <c r="A575" s="16">
        <v>571</v>
      </c>
      <c r="B575" s="17" t="s">
        <v>2875</v>
      </c>
      <c r="C575" s="18" t="s">
        <v>2876</v>
      </c>
      <c r="D575" s="19">
        <v>46017</v>
      </c>
      <c r="E575" s="49"/>
      <c r="F575" s="49"/>
      <c r="G575" s="20"/>
      <c r="H575" s="20"/>
      <c r="I575" s="21">
        <v>77.884399999999999</v>
      </c>
      <c r="J575" s="22">
        <f>ROUND(I575*H575,2)</f>
        <v>0</v>
      </c>
      <c r="K575" s="23" t="e">
        <f>ROUND(G575/J575,4)</f>
        <v>#DIV/0!</v>
      </c>
      <c r="L575" s="24" t="e">
        <f>1-K575</f>
        <v>#DIV/0!</v>
      </c>
      <c r="M575" s="25" t="s">
        <v>2877</v>
      </c>
      <c r="N575" s="25" t="s">
        <v>2878</v>
      </c>
      <c r="O575" s="26" t="s">
        <v>2879</v>
      </c>
      <c r="P575" s="27" t="s">
        <v>1617</v>
      </c>
      <c r="Q575" s="27" t="s">
        <v>25</v>
      </c>
      <c r="R575" s="21" t="s">
        <v>39</v>
      </c>
      <c r="S575" s="29">
        <v>499</v>
      </c>
      <c r="T575" s="1"/>
    </row>
    <row r="576" spans="1:34" x14ac:dyDescent="0.3">
      <c r="A576" s="16">
        <v>572</v>
      </c>
      <c r="B576" s="17" t="s">
        <v>2880</v>
      </c>
      <c r="C576" s="18" t="s">
        <v>2881</v>
      </c>
      <c r="D576" s="19">
        <v>46017</v>
      </c>
      <c r="E576" s="49"/>
      <c r="F576" s="49"/>
      <c r="G576" s="20"/>
      <c r="H576" s="20"/>
      <c r="I576" s="21">
        <v>77.884399999999999</v>
      </c>
      <c r="J576" s="22">
        <f>ROUND(I576*H576,2)</f>
        <v>0</v>
      </c>
      <c r="K576" s="23" t="e">
        <f>ROUND(G576/J576,4)</f>
        <v>#DIV/0!</v>
      </c>
      <c r="L576" s="24" t="e">
        <f>1-K576</f>
        <v>#DIV/0!</v>
      </c>
      <c r="M576" s="25" t="s">
        <v>2882</v>
      </c>
      <c r="N576" s="25" t="s">
        <v>2883</v>
      </c>
      <c r="O576" s="26" t="s">
        <v>2884</v>
      </c>
      <c r="P576" s="27" t="s">
        <v>1148</v>
      </c>
      <c r="Q576" s="27" t="s">
        <v>25</v>
      </c>
      <c r="R576" s="21" t="s">
        <v>26</v>
      </c>
      <c r="S576" s="29">
        <v>500</v>
      </c>
      <c r="T576" s="1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 spans="1:34" x14ac:dyDescent="0.3">
      <c r="A577" s="16">
        <v>573</v>
      </c>
      <c r="B577" s="17" t="s">
        <v>2885</v>
      </c>
      <c r="C577" s="18" t="s">
        <v>2886</v>
      </c>
      <c r="D577" s="19">
        <v>46017</v>
      </c>
      <c r="E577" s="49"/>
      <c r="F577" s="49"/>
      <c r="G577" s="20"/>
      <c r="H577" s="20"/>
      <c r="I577" s="21">
        <v>77.884399999999999</v>
      </c>
      <c r="J577" s="22">
        <f>ROUND(I577*H577,2)</f>
        <v>0</v>
      </c>
      <c r="K577" s="23" t="e">
        <f>ROUND(G577/J577,4)</f>
        <v>#DIV/0!</v>
      </c>
      <c r="L577" s="24" t="e">
        <f>1-K577</f>
        <v>#DIV/0!</v>
      </c>
      <c r="M577" s="25" t="s">
        <v>2887</v>
      </c>
      <c r="N577" s="25" t="s">
        <v>2888</v>
      </c>
      <c r="O577" s="26" t="s">
        <v>2889</v>
      </c>
      <c r="P577" s="27" t="s">
        <v>903</v>
      </c>
      <c r="Q577" s="27" t="s">
        <v>25</v>
      </c>
      <c r="R577" s="21" t="s">
        <v>26</v>
      </c>
      <c r="S577" s="29">
        <v>501</v>
      </c>
      <c r="T577" s="1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 spans="1:34" x14ac:dyDescent="0.3">
      <c r="A578" s="16">
        <v>574</v>
      </c>
      <c r="B578" s="17" t="s">
        <v>2890</v>
      </c>
      <c r="C578" s="18" t="s">
        <v>2891</v>
      </c>
      <c r="D578" s="19">
        <v>46017</v>
      </c>
      <c r="E578" s="49"/>
      <c r="F578" s="49"/>
      <c r="G578" s="20"/>
      <c r="H578" s="20"/>
      <c r="I578" s="21">
        <v>77.884399999999999</v>
      </c>
      <c r="J578" s="22">
        <f>ROUND(I578*H578,2)</f>
        <v>0</v>
      </c>
      <c r="K578" s="23" t="e">
        <f>ROUND(G578/J578,4)</f>
        <v>#DIV/0!</v>
      </c>
      <c r="L578" s="24" t="e">
        <f>1-K578</f>
        <v>#DIV/0!</v>
      </c>
      <c r="M578" s="25" t="s">
        <v>2892</v>
      </c>
      <c r="N578" s="25" t="s">
        <v>2893</v>
      </c>
      <c r="O578" s="26" t="s">
        <v>2894</v>
      </c>
      <c r="P578" s="27" t="s">
        <v>32</v>
      </c>
      <c r="Q578" s="27" t="s">
        <v>25</v>
      </c>
      <c r="R578" s="64" t="s">
        <v>39</v>
      </c>
      <c r="S578" s="29">
        <v>502</v>
      </c>
      <c r="T578" s="1"/>
    </row>
    <row r="579" spans="1:34" x14ac:dyDescent="0.3">
      <c r="A579" s="16">
        <v>575</v>
      </c>
      <c r="B579" s="17" t="s">
        <v>2895</v>
      </c>
      <c r="C579" s="18" t="s">
        <v>2896</v>
      </c>
      <c r="D579" s="19">
        <v>46017</v>
      </c>
      <c r="E579" s="49"/>
      <c r="F579" s="49"/>
      <c r="G579" s="20"/>
      <c r="H579" s="20"/>
      <c r="I579" s="21">
        <v>77.884399999999999</v>
      </c>
      <c r="J579" s="22">
        <f>ROUND(I579*H579,2)</f>
        <v>0</v>
      </c>
      <c r="K579" s="23" t="e">
        <f>ROUND(G579/J579,4)</f>
        <v>#DIV/0!</v>
      </c>
      <c r="L579" s="24" t="e">
        <f>1-K579</f>
        <v>#DIV/0!</v>
      </c>
      <c r="M579" s="25" t="s">
        <v>2897</v>
      </c>
      <c r="N579" s="25" t="s">
        <v>2898</v>
      </c>
      <c r="O579" s="26" t="s">
        <v>2899</v>
      </c>
      <c r="P579" s="27" t="s">
        <v>32</v>
      </c>
      <c r="Q579" s="27" t="s">
        <v>25</v>
      </c>
      <c r="R579" s="21" t="s">
        <v>26</v>
      </c>
      <c r="S579" s="29">
        <v>503</v>
      </c>
      <c r="T579" s="1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 spans="1:34" x14ac:dyDescent="0.3">
      <c r="A580" s="16">
        <v>576</v>
      </c>
      <c r="B580" s="17" t="s">
        <v>2900</v>
      </c>
      <c r="C580" s="18" t="s">
        <v>2901</v>
      </c>
      <c r="D580" s="19">
        <v>46017</v>
      </c>
      <c r="E580" s="49"/>
      <c r="F580" s="49"/>
      <c r="G580" s="20"/>
      <c r="H580" s="20"/>
      <c r="I580" s="21">
        <v>77.884399999999999</v>
      </c>
      <c r="J580" s="22">
        <f>ROUND(I580*H580,2)</f>
        <v>0</v>
      </c>
      <c r="K580" s="23" t="e">
        <f>ROUND(G580/J580,4)</f>
        <v>#DIV/0!</v>
      </c>
      <c r="L580" s="24" t="e">
        <f>1-K580</f>
        <v>#DIV/0!</v>
      </c>
      <c r="M580" s="25" t="s">
        <v>2902</v>
      </c>
      <c r="N580" s="25" t="s">
        <v>2903</v>
      </c>
      <c r="O580" s="26" t="s">
        <v>2904</v>
      </c>
      <c r="P580" s="27" t="s">
        <v>502</v>
      </c>
      <c r="Q580" s="27" t="s">
        <v>25</v>
      </c>
      <c r="R580" s="64" t="s">
        <v>26</v>
      </c>
      <c r="S580" s="29">
        <v>504</v>
      </c>
      <c r="T580" s="1"/>
    </row>
    <row r="581" spans="1:34" x14ac:dyDescent="0.3">
      <c r="A581" s="16">
        <v>577</v>
      </c>
      <c r="B581" s="17" t="s">
        <v>2905</v>
      </c>
      <c r="C581" s="18" t="s">
        <v>2906</v>
      </c>
      <c r="D581" s="19">
        <v>46017</v>
      </c>
      <c r="E581" s="49"/>
      <c r="F581" s="49"/>
      <c r="G581" s="20"/>
      <c r="H581" s="20"/>
      <c r="I581" s="21">
        <v>77.884399999999999</v>
      </c>
      <c r="J581" s="22">
        <f>ROUND(I581*H581,2)</f>
        <v>0</v>
      </c>
      <c r="K581" s="23" t="e">
        <f>ROUND(G581/J581,4)</f>
        <v>#DIV/0!</v>
      </c>
      <c r="L581" s="24" t="e">
        <f>1-K581</f>
        <v>#DIV/0!</v>
      </c>
      <c r="M581" s="25" t="s">
        <v>2907</v>
      </c>
      <c r="N581" s="25" t="s">
        <v>2908</v>
      </c>
      <c r="O581" s="26" t="s">
        <v>2909</v>
      </c>
      <c r="P581" s="27" t="s">
        <v>903</v>
      </c>
      <c r="Q581" s="27" t="s">
        <v>771</v>
      </c>
      <c r="R581" s="21" t="s">
        <v>39</v>
      </c>
      <c r="S581" s="29">
        <v>505</v>
      </c>
      <c r="T581" s="1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 spans="1:34" x14ac:dyDescent="0.3">
      <c r="A582" s="31">
        <v>578</v>
      </c>
      <c r="B582" s="26" t="s">
        <v>2910</v>
      </c>
      <c r="C582" s="27" t="s">
        <v>2911</v>
      </c>
      <c r="D582" s="19">
        <v>46017</v>
      </c>
      <c r="E582" s="49"/>
      <c r="F582" s="49"/>
      <c r="G582" s="20"/>
      <c r="H582" s="20"/>
      <c r="I582" s="21">
        <v>77.884399999999999</v>
      </c>
      <c r="J582" s="22">
        <f>ROUND(I582*H582,2)</f>
        <v>0</v>
      </c>
      <c r="K582" s="23" t="e">
        <f>ROUND(G582/J582,4)</f>
        <v>#DIV/0!</v>
      </c>
      <c r="L582" s="24" t="e">
        <f>1-K582</f>
        <v>#DIV/0!</v>
      </c>
      <c r="M582" s="25"/>
      <c r="N582" s="25"/>
      <c r="O582" s="26" t="s">
        <v>2912</v>
      </c>
      <c r="P582" s="27" t="s">
        <v>2913</v>
      </c>
      <c r="Q582" s="27" t="s">
        <v>25</v>
      </c>
      <c r="R582" s="64" t="s">
        <v>26</v>
      </c>
      <c r="S582" s="29"/>
      <c r="T582" s="1"/>
    </row>
    <row r="583" spans="1:34" x14ac:dyDescent="0.3">
      <c r="A583" s="16">
        <v>579</v>
      </c>
      <c r="B583" s="17" t="s">
        <v>2914</v>
      </c>
      <c r="C583" s="18" t="s">
        <v>2915</v>
      </c>
      <c r="D583" s="19">
        <v>46017</v>
      </c>
      <c r="E583" s="49"/>
      <c r="F583" s="49"/>
      <c r="G583" s="20"/>
      <c r="H583" s="20"/>
      <c r="I583" s="21">
        <v>77.884399999999999</v>
      </c>
      <c r="J583" s="22">
        <f>ROUND(I583*H583,2)</f>
        <v>0</v>
      </c>
      <c r="K583" s="23" t="e">
        <f>ROUND(G583/J583,4)</f>
        <v>#DIV/0!</v>
      </c>
      <c r="L583" s="24" t="e">
        <f>1-K583</f>
        <v>#DIV/0!</v>
      </c>
      <c r="M583" s="25" t="s">
        <v>2916</v>
      </c>
      <c r="N583" s="25" t="s">
        <v>2917</v>
      </c>
      <c r="O583" s="26" t="s">
        <v>2918</v>
      </c>
      <c r="P583" s="27" t="s">
        <v>24</v>
      </c>
      <c r="Q583" s="27" t="s">
        <v>25</v>
      </c>
      <c r="R583" s="21" t="s">
        <v>26</v>
      </c>
      <c r="S583" s="29">
        <v>506</v>
      </c>
      <c r="T583" s="1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 spans="1:34" x14ac:dyDescent="0.3">
      <c r="A584" s="16">
        <v>580</v>
      </c>
      <c r="B584" s="17" t="s">
        <v>2919</v>
      </c>
      <c r="C584" s="18" t="s">
        <v>2920</v>
      </c>
      <c r="D584" s="19">
        <v>46017</v>
      </c>
      <c r="E584" s="49"/>
      <c r="F584" s="49"/>
      <c r="G584" s="20"/>
      <c r="H584" s="20"/>
      <c r="I584" s="21">
        <v>77.884399999999999</v>
      </c>
      <c r="J584" s="22">
        <f>ROUND(I584*H584,2)</f>
        <v>0</v>
      </c>
      <c r="K584" s="23" t="e">
        <f>ROUND(G584/J584,4)</f>
        <v>#DIV/0!</v>
      </c>
      <c r="L584" s="24" t="e">
        <f>1-K584</f>
        <v>#DIV/0!</v>
      </c>
      <c r="M584" s="25" t="s">
        <v>2921</v>
      </c>
      <c r="N584" s="25" t="s">
        <v>2922</v>
      </c>
      <c r="O584" s="26" t="s">
        <v>2923</v>
      </c>
      <c r="P584" s="27" t="s">
        <v>51</v>
      </c>
      <c r="Q584" s="27" t="s">
        <v>25</v>
      </c>
      <c r="R584" s="64" t="s">
        <v>26</v>
      </c>
      <c r="S584" s="29">
        <v>507</v>
      </c>
      <c r="T584" s="1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 spans="1:34" x14ac:dyDescent="0.3">
      <c r="A585" s="16">
        <v>581</v>
      </c>
      <c r="B585" s="17" t="s">
        <v>2924</v>
      </c>
      <c r="C585" s="18" t="s">
        <v>2925</v>
      </c>
      <c r="D585" s="19">
        <v>46017</v>
      </c>
      <c r="E585" s="49"/>
      <c r="F585" s="49"/>
      <c r="G585" s="20"/>
      <c r="H585" s="20"/>
      <c r="I585" s="21">
        <v>77.884399999999999</v>
      </c>
      <c r="J585" s="22">
        <f>ROUND(I585*H585,2)</f>
        <v>0</v>
      </c>
      <c r="K585" s="23" t="e">
        <f>ROUND(G585/J585,4)</f>
        <v>#DIV/0!</v>
      </c>
      <c r="L585" s="24" t="e">
        <f>1-K585</f>
        <v>#DIV/0!</v>
      </c>
      <c r="M585" s="25" t="s">
        <v>2926</v>
      </c>
      <c r="N585" s="25" t="s">
        <v>2927</v>
      </c>
      <c r="O585" s="26" t="s">
        <v>2928</v>
      </c>
      <c r="P585" s="27" t="s">
        <v>265</v>
      </c>
      <c r="Q585" s="27" t="s">
        <v>25</v>
      </c>
      <c r="R585" s="64" t="s">
        <v>26</v>
      </c>
      <c r="S585" s="29">
        <v>508</v>
      </c>
      <c r="T585" s="1"/>
    </row>
    <row r="586" spans="1:34" x14ac:dyDescent="0.3">
      <c r="A586" s="16">
        <v>582</v>
      </c>
      <c r="B586" s="17" t="s">
        <v>2929</v>
      </c>
      <c r="C586" s="18" t="s">
        <v>2930</v>
      </c>
      <c r="D586" s="19">
        <v>46017</v>
      </c>
      <c r="E586" s="49"/>
      <c r="F586" s="49"/>
      <c r="G586" s="20"/>
      <c r="H586" s="20"/>
      <c r="I586" s="21">
        <v>77.884399999999999</v>
      </c>
      <c r="J586" s="22">
        <f>ROUND(I586*H586,2)</f>
        <v>0</v>
      </c>
      <c r="K586" s="23" t="e">
        <f>ROUND(G586/J586,4)</f>
        <v>#DIV/0!</v>
      </c>
      <c r="L586" s="24" t="e">
        <f>1-K586</f>
        <v>#DIV/0!</v>
      </c>
      <c r="M586" s="25" t="s">
        <v>2931</v>
      </c>
      <c r="N586" s="25" t="s">
        <v>2932</v>
      </c>
      <c r="O586" s="26" t="s">
        <v>2933</v>
      </c>
      <c r="P586" s="27" t="s">
        <v>973</v>
      </c>
      <c r="Q586" s="27" t="s">
        <v>2934</v>
      </c>
      <c r="R586" s="21" t="s">
        <v>26</v>
      </c>
      <c r="S586" s="29">
        <v>509</v>
      </c>
      <c r="T586" s="1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 spans="1:34" x14ac:dyDescent="0.3">
      <c r="A587" s="16">
        <v>583</v>
      </c>
      <c r="B587" s="17" t="s">
        <v>2935</v>
      </c>
      <c r="C587" s="18" t="s">
        <v>2936</v>
      </c>
      <c r="D587" s="19">
        <v>46017</v>
      </c>
      <c r="E587" s="49"/>
      <c r="F587" s="49"/>
      <c r="G587" s="20"/>
      <c r="H587" s="20"/>
      <c r="I587" s="21">
        <v>77.884399999999999</v>
      </c>
      <c r="J587" s="22">
        <f>ROUND(I587*H587,2)</f>
        <v>0</v>
      </c>
      <c r="K587" s="23" t="e">
        <f>ROUND(G587/J587,4)</f>
        <v>#DIV/0!</v>
      </c>
      <c r="L587" s="24" t="e">
        <f>1-K587</f>
        <v>#DIV/0!</v>
      </c>
      <c r="M587" s="25" t="s">
        <v>2937</v>
      </c>
      <c r="N587" s="25" t="s">
        <v>2938</v>
      </c>
      <c r="O587" s="26" t="s">
        <v>2939</v>
      </c>
      <c r="P587" s="27" t="s">
        <v>152</v>
      </c>
      <c r="Q587" s="27" t="s">
        <v>25</v>
      </c>
      <c r="R587" s="64" t="s">
        <v>26</v>
      </c>
      <c r="S587" s="29">
        <v>510</v>
      </c>
      <c r="T587" s="1"/>
    </row>
    <row r="588" spans="1:34" x14ac:dyDescent="0.3">
      <c r="A588" s="16">
        <v>584</v>
      </c>
      <c r="B588" s="17" t="s">
        <v>2940</v>
      </c>
      <c r="C588" s="18" t="s">
        <v>2941</v>
      </c>
      <c r="D588" s="19">
        <v>46017</v>
      </c>
      <c r="E588" s="49"/>
      <c r="F588" s="49"/>
      <c r="G588" s="20"/>
      <c r="H588" s="20"/>
      <c r="I588" s="21">
        <v>77.884399999999999</v>
      </c>
      <c r="J588" s="22">
        <f>ROUND(I588*H588,2)</f>
        <v>0</v>
      </c>
      <c r="K588" s="23" t="e">
        <f>ROUND(G588/J588,4)</f>
        <v>#DIV/0!</v>
      </c>
      <c r="L588" s="24" t="e">
        <f>1-K588</f>
        <v>#DIV/0!</v>
      </c>
      <c r="M588" s="25" t="s">
        <v>2942</v>
      </c>
      <c r="N588" s="25" t="s">
        <v>2943</v>
      </c>
      <c r="O588" s="26" t="s">
        <v>2944</v>
      </c>
      <c r="P588" s="27" t="s">
        <v>319</v>
      </c>
      <c r="Q588" s="27" t="s">
        <v>25</v>
      </c>
      <c r="R588" s="21" t="s">
        <v>39</v>
      </c>
      <c r="S588" s="29">
        <v>511</v>
      </c>
      <c r="T588" s="1"/>
    </row>
    <row r="589" spans="1:34" x14ac:dyDescent="0.3">
      <c r="A589" s="16">
        <v>585</v>
      </c>
      <c r="B589" s="17" t="s">
        <v>2945</v>
      </c>
      <c r="C589" s="18" t="s">
        <v>2946</v>
      </c>
      <c r="D589" s="19">
        <v>46017</v>
      </c>
      <c r="E589" s="49"/>
      <c r="F589" s="49"/>
      <c r="G589" s="20"/>
      <c r="H589" s="20"/>
      <c r="I589" s="21">
        <v>77.884399999999999</v>
      </c>
      <c r="J589" s="22">
        <f>ROUND(I589*H589,2)</f>
        <v>0</v>
      </c>
      <c r="K589" s="23" t="e">
        <f>ROUND(G589/J589,4)</f>
        <v>#DIV/0!</v>
      </c>
      <c r="L589" s="24" t="e">
        <f>1-K589</f>
        <v>#DIV/0!</v>
      </c>
      <c r="M589" s="25" t="s">
        <v>2947</v>
      </c>
      <c r="N589" s="25" t="s">
        <v>2948</v>
      </c>
      <c r="O589" s="26" t="s">
        <v>2949</v>
      </c>
      <c r="P589" s="27" t="s">
        <v>1687</v>
      </c>
      <c r="Q589" s="27" t="s">
        <v>25</v>
      </c>
      <c r="R589" s="21" t="s">
        <v>26</v>
      </c>
      <c r="S589" s="29">
        <v>512</v>
      </c>
      <c r="T589" s="1"/>
    </row>
    <row r="590" spans="1:34" x14ac:dyDescent="0.3">
      <c r="A590" s="16">
        <v>586</v>
      </c>
      <c r="B590" s="17" t="s">
        <v>2950</v>
      </c>
      <c r="C590" s="18" t="s">
        <v>2951</v>
      </c>
      <c r="D590" s="19">
        <v>46017</v>
      </c>
      <c r="E590" s="49"/>
      <c r="F590" s="49"/>
      <c r="G590" s="20"/>
      <c r="H590" s="20"/>
      <c r="I590" s="21">
        <v>77.884399999999999</v>
      </c>
      <c r="J590" s="22">
        <f>ROUND(I590*H590,2)</f>
        <v>0</v>
      </c>
      <c r="K590" s="23" t="e">
        <f>ROUND(G590/J590,4)</f>
        <v>#DIV/0!</v>
      </c>
      <c r="L590" s="24" t="e">
        <f>1-K590</f>
        <v>#DIV/0!</v>
      </c>
      <c r="M590" s="25" t="s">
        <v>2952</v>
      </c>
      <c r="N590" s="25" t="s">
        <v>2953</v>
      </c>
      <c r="O590" s="26" t="s">
        <v>2954</v>
      </c>
      <c r="P590" s="27" t="s">
        <v>152</v>
      </c>
      <c r="Q590" s="27" t="s">
        <v>25</v>
      </c>
      <c r="R590" s="21" t="s">
        <v>26</v>
      </c>
      <c r="S590" s="29">
        <v>513</v>
      </c>
      <c r="T590" s="1"/>
    </row>
    <row r="591" spans="1:34" x14ac:dyDescent="0.3">
      <c r="A591" s="16">
        <v>587</v>
      </c>
      <c r="B591" s="17" t="s">
        <v>2955</v>
      </c>
      <c r="C591" s="18" t="s">
        <v>2956</v>
      </c>
      <c r="D591" s="19">
        <v>46017</v>
      </c>
      <c r="E591" s="49"/>
      <c r="F591" s="49"/>
      <c r="G591" s="20"/>
      <c r="H591" s="20"/>
      <c r="I591" s="21">
        <v>77.884399999999999</v>
      </c>
      <c r="J591" s="22">
        <f>ROUND(I591*H591,2)</f>
        <v>0</v>
      </c>
      <c r="K591" s="23" t="e">
        <f>ROUND(G591/J591,4)</f>
        <v>#DIV/0!</v>
      </c>
      <c r="L591" s="24" t="e">
        <f>1-K591</f>
        <v>#DIV/0!</v>
      </c>
      <c r="M591" s="25" t="s">
        <v>2957</v>
      </c>
      <c r="N591" s="25" t="s">
        <v>2958</v>
      </c>
      <c r="O591" s="26" t="s">
        <v>2959</v>
      </c>
      <c r="P591" s="27" t="s">
        <v>32</v>
      </c>
      <c r="Q591" s="27" t="s">
        <v>25</v>
      </c>
      <c r="R591" s="21" t="s">
        <v>26</v>
      </c>
      <c r="S591" s="29">
        <v>514</v>
      </c>
      <c r="T591" s="1"/>
    </row>
    <row r="592" spans="1:34" x14ac:dyDescent="0.3">
      <c r="A592" s="31">
        <v>588</v>
      </c>
      <c r="B592" s="26" t="s">
        <v>2960</v>
      </c>
      <c r="C592" s="27" t="s">
        <v>2961</v>
      </c>
      <c r="D592" s="19">
        <v>46017</v>
      </c>
      <c r="E592" s="49"/>
      <c r="F592" s="49"/>
      <c r="G592" s="20"/>
      <c r="H592" s="20"/>
      <c r="I592" s="21">
        <v>77.884399999999999</v>
      </c>
      <c r="J592" s="22">
        <f>ROUND(I592*H592,2)</f>
        <v>0</v>
      </c>
      <c r="K592" s="23" t="e">
        <f>ROUND(G592/J592,4)</f>
        <v>#DIV/0!</v>
      </c>
      <c r="L592" s="24" t="e">
        <f>1-K592</f>
        <v>#DIV/0!</v>
      </c>
      <c r="M592" s="25"/>
      <c r="N592" s="25"/>
      <c r="O592" s="26" t="s">
        <v>2962</v>
      </c>
      <c r="P592" s="27" t="s">
        <v>2963</v>
      </c>
      <c r="Q592" s="27" t="s">
        <v>25</v>
      </c>
      <c r="R592" s="21" t="s">
        <v>26</v>
      </c>
      <c r="S592" s="29"/>
      <c r="T592" s="1"/>
    </row>
    <row r="593" spans="1:34" x14ac:dyDescent="0.3">
      <c r="A593" s="16">
        <v>589</v>
      </c>
      <c r="B593" s="17" t="s">
        <v>2964</v>
      </c>
      <c r="C593" s="18" t="s">
        <v>2965</v>
      </c>
      <c r="D593" s="19">
        <v>46017</v>
      </c>
      <c r="E593" s="49"/>
      <c r="F593" s="49"/>
      <c r="G593" s="20"/>
      <c r="H593" s="20"/>
      <c r="I593" s="21">
        <v>77.884399999999999</v>
      </c>
      <c r="J593" s="22">
        <f>ROUND(I593*H593,2)</f>
        <v>0</v>
      </c>
      <c r="K593" s="23" t="e">
        <f>ROUND(G593/J593,4)</f>
        <v>#DIV/0!</v>
      </c>
      <c r="L593" s="24" t="e">
        <f>1-K593</f>
        <v>#DIV/0!</v>
      </c>
      <c r="M593" s="25" t="s">
        <v>2966</v>
      </c>
      <c r="N593" s="25" t="s">
        <v>2967</v>
      </c>
      <c r="O593" s="26" t="s">
        <v>2968</v>
      </c>
      <c r="P593" s="27" t="s">
        <v>1048</v>
      </c>
      <c r="Q593" s="27" t="s">
        <v>25</v>
      </c>
      <c r="R593" s="21" t="s">
        <v>26</v>
      </c>
      <c r="S593" s="29">
        <v>515</v>
      </c>
      <c r="T593" s="1"/>
    </row>
    <row r="594" spans="1:34" x14ac:dyDescent="0.3">
      <c r="A594" s="16">
        <v>590</v>
      </c>
      <c r="B594" s="17" t="s">
        <v>2969</v>
      </c>
      <c r="C594" s="18" t="s">
        <v>2970</v>
      </c>
      <c r="D594" s="19">
        <v>46017</v>
      </c>
      <c r="E594" s="49"/>
      <c r="F594" s="49"/>
      <c r="G594" s="20"/>
      <c r="H594" s="20"/>
      <c r="I594" s="21">
        <v>77.884399999999999</v>
      </c>
      <c r="J594" s="22">
        <f>ROUND(I594*H594,2)</f>
        <v>0</v>
      </c>
      <c r="K594" s="23" t="e">
        <f>ROUND(G594/J594,4)</f>
        <v>#DIV/0!</v>
      </c>
      <c r="L594" s="24" t="e">
        <f>1-K594</f>
        <v>#DIV/0!</v>
      </c>
      <c r="M594" s="25" t="s">
        <v>2971</v>
      </c>
      <c r="N594" s="25" t="s">
        <v>2967</v>
      </c>
      <c r="O594" s="26" t="s">
        <v>2972</v>
      </c>
      <c r="P594" s="27" t="s">
        <v>32</v>
      </c>
      <c r="Q594" s="27" t="s">
        <v>25</v>
      </c>
      <c r="R594" s="21" t="s">
        <v>26</v>
      </c>
      <c r="S594" s="29">
        <v>516</v>
      </c>
      <c r="T594" s="1"/>
    </row>
    <row r="595" spans="1:34" x14ac:dyDescent="0.3">
      <c r="A595" s="16">
        <v>591</v>
      </c>
      <c r="B595" s="17" t="s">
        <v>2973</v>
      </c>
      <c r="C595" s="18" t="s">
        <v>2974</v>
      </c>
      <c r="D595" s="19">
        <v>46017</v>
      </c>
      <c r="E595" s="49"/>
      <c r="F595" s="49"/>
      <c r="G595" s="20"/>
      <c r="H595" s="20"/>
      <c r="I595" s="21">
        <v>77.884399999999999</v>
      </c>
      <c r="J595" s="22">
        <f>ROUND(I595*H595,2)</f>
        <v>0</v>
      </c>
      <c r="K595" s="23" t="e">
        <f>ROUND(G595/J595,4)</f>
        <v>#DIV/0!</v>
      </c>
      <c r="L595" s="24" t="e">
        <f>1-K595</f>
        <v>#DIV/0!</v>
      </c>
      <c r="M595" s="25" t="s">
        <v>2975</v>
      </c>
      <c r="N595" s="25" t="s">
        <v>2976</v>
      </c>
      <c r="O595" s="26" t="s">
        <v>2977</v>
      </c>
      <c r="P595" s="27" t="s">
        <v>38</v>
      </c>
      <c r="Q595" s="27" t="s">
        <v>25</v>
      </c>
      <c r="R595" s="21" t="s">
        <v>26</v>
      </c>
      <c r="S595" s="29">
        <v>517</v>
      </c>
      <c r="T595" s="1"/>
    </row>
    <row r="596" spans="1:34" x14ac:dyDescent="0.3">
      <c r="A596" s="31">
        <v>592</v>
      </c>
      <c r="B596" s="32" t="s">
        <v>2978</v>
      </c>
      <c r="C596" s="33" t="s">
        <v>2979</v>
      </c>
      <c r="D596" s="19">
        <v>46017</v>
      </c>
      <c r="E596" s="49"/>
      <c r="F596" s="49"/>
      <c r="G596" s="20"/>
      <c r="H596" s="20"/>
      <c r="I596" s="21">
        <v>77.884399999999999</v>
      </c>
      <c r="J596" s="22">
        <f>ROUND(I596*H596,2)</f>
        <v>0</v>
      </c>
      <c r="K596" s="23" t="e">
        <f>ROUND(G596/J596,4)</f>
        <v>#DIV/0!</v>
      </c>
      <c r="L596" s="24" t="e">
        <f>1-K596</f>
        <v>#DIV/0!</v>
      </c>
      <c r="M596" s="25" t="s">
        <v>2980</v>
      </c>
      <c r="N596" s="25" t="s">
        <v>2981</v>
      </c>
      <c r="O596" s="26" t="s">
        <v>2982</v>
      </c>
      <c r="P596" s="27" t="s">
        <v>2983</v>
      </c>
      <c r="Q596" s="27" t="s">
        <v>25</v>
      </c>
      <c r="R596" s="21" t="s">
        <v>39</v>
      </c>
      <c r="S596" s="29">
        <v>518</v>
      </c>
      <c r="T596" s="1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 spans="1:34" x14ac:dyDescent="0.3">
      <c r="A597" s="16">
        <v>593</v>
      </c>
      <c r="B597" s="17" t="s">
        <v>2984</v>
      </c>
      <c r="C597" s="18" t="s">
        <v>2985</v>
      </c>
      <c r="D597" s="19">
        <v>46017</v>
      </c>
      <c r="E597" s="49"/>
      <c r="F597" s="49"/>
      <c r="G597" s="20"/>
      <c r="H597" s="20"/>
      <c r="I597" s="21">
        <v>77.884399999999999</v>
      </c>
      <c r="J597" s="22">
        <f>ROUND(I597*H597,2)</f>
        <v>0</v>
      </c>
      <c r="K597" s="23" t="e">
        <f>ROUND(G597/J597,4)</f>
        <v>#DIV/0!</v>
      </c>
      <c r="L597" s="24" t="e">
        <f>1-K597</f>
        <v>#DIV/0!</v>
      </c>
      <c r="M597" s="25" t="s">
        <v>2986</v>
      </c>
      <c r="N597" s="25" t="s">
        <v>2987</v>
      </c>
      <c r="O597" s="26" t="s">
        <v>2988</v>
      </c>
      <c r="P597" s="27" t="s">
        <v>250</v>
      </c>
      <c r="Q597" s="27" t="s">
        <v>25</v>
      </c>
      <c r="R597" s="64" t="s">
        <v>39</v>
      </c>
      <c r="S597" s="29">
        <v>519</v>
      </c>
      <c r="T597" s="1"/>
    </row>
    <row r="598" spans="1:34" x14ac:dyDescent="0.3">
      <c r="A598" s="16">
        <v>594</v>
      </c>
      <c r="B598" s="17" t="s">
        <v>2989</v>
      </c>
      <c r="C598" s="18" t="s">
        <v>2990</v>
      </c>
      <c r="D598" s="19">
        <v>46017</v>
      </c>
      <c r="E598" s="49"/>
      <c r="F598" s="49"/>
      <c r="G598" s="20"/>
      <c r="H598" s="20"/>
      <c r="I598" s="21">
        <v>77.884399999999999</v>
      </c>
      <c r="J598" s="22">
        <f>ROUND(I598*H598,2)</f>
        <v>0</v>
      </c>
      <c r="K598" s="23" t="e">
        <f>ROUND(G598/J598,4)</f>
        <v>#DIV/0!</v>
      </c>
      <c r="L598" s="24" t="e">
        <f>1-K598</f>
        <v>#DIV/0!</v>
      </c>
      <c r="M598" s="25" t="s">
        <v>2991</v>
      </c>
      <c r="N598" s="25" t="s">
        <v>2992</v>
      </c>
      <c r="O598" s="26" t="s">
        <v>2993</v>
      </c>
      <c r="P598" s="27" t="s">
        <v>856</v>
      </c>
      <c r="Q598" s="27" t="s">
        <v>25</v>
      </c>
      <c r="R598" s="21" t="s">
        <v>39</v>
      </c>
      <c r="S598" s="29">
        <v>520</v>
      </c>
      <c r="T598" s="1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 spans="1:34" x14ac:dyDescent="0.3">
      <c r="A599" s="16">
        <v>595</v>
      </c>
      <c r="B599" s="17" t="s">
        <v>2994</v>
      </c>
      <c r="C599" s="18" t="s">
        <v>2995</v>
      </c>
      <c r="D599" s="19">
        <v>46017</v>
      </c>
      <c r="E599" s="49"/>
      <c r="F599" s="49"/>
      <c r="G599" s="20"/>
      <c r="H599" s="20"/>
      <c r="I599" s="21">
        <v>77.884399999999999</v>
      </c>
      <c r="J599" s="22">
        <f>ROUND(I599*H599,2)</f>
        <v>0</v>
      </c>
      <c r="K599" s="23" t="e">
        <f>ROUND(G599/J599,4)</f>
        <v>#DIV/0!</v>
      </c>
      <c r="L599" s="24" t="e">
        <f>1-K599</f>
        <v>#DIV/0!</v>
      </c>
      <c r="M599" s="25" t="s">
        <v>2996</v>
      </c>
      <c r="N599" s="25" t="s">
        <v>2997</v>
      </c>
      <c r="O599" s="26" t="s">
        <v>2998</v>
      </c>
      <c r="P599" s="27" t="s">
        <v>687</v>
      </c>
      <c r="Q599" s="27" t="s">
        <v>25</v>
      </c>
      <c r="R599" s="64" t="s">
        <v>39</v>
      </c>
      <c r="S599" s="29">
        <v>521</v>
      </c>
      <c r="T599" s="1"/>
    </row>
    <row r="600" spans="1:34" x14ac:dyDescent="0.3">
      <c r="A600" s="31">
        <v>596</v>
      </c>
      <c r="B600" s="26" t="s">
        <v>2999</v>
      </c>
      <c r="C600" s="27" t="s">
        <v>3000</v>
      </c>
      <c r="D600" s="19">
        <v>46017</v>
      </c>
      <c r="E600" s="49"/>
      <c r="F600" s="49"/>
      <c r="G600" s="20"/>
      <c r="H600" s="20"/>
      <c r="I600" s="21">
        <v>77.884399999999999</v>
      </c>
      <c r="J600" s="22">
        <f>ROUND(I600*H600,2)</f>
        <v>0</v>
      </c>
      <c r="K600" s="23" t="e">
        <f>ROUND(G600/J600,4)</f>
        <v>#DIV/0!</v>
      </c>
      <c r="L600" s="24" t="e">
        <f>1-K600</f>
        <v>#DIV/0!</v>
      </c>
      <c r="M600" s="25"/>
      <c r="N600" s="25"/>
      <c r="O600" s="26" t="s">
        <v>3001</v>
      </c>
      <c r="P600" s="27" t="s">
        <v>3002</v>
      </c>
      <c r="Q600" s="27" t="s">
        <v>25</v>
      </c>
      <c r="R600" s="21" t="s">
        <v>26</v>
      </c>
      <c r="S600" s="29"/>
      <c r="T600" s="1"/>
    </row>
    <row r="601" spans="1:34" x14ac:dyDescent="0.3">
      <c r="A601" s="16">
        <v>597</v>
      </c>
      <c r="B601" s="17" t="s">
        <v>3003</v>
      </c>
      <c r="C601" s="18" t="s">
        <v>3004</v>
      </c>
      <c r="D601" s="19">
        <v>46017</v>
      </c>
      <c r="E601" s="49"/>
      <c r="F601" s="49"/>
      <c r="G601" s="20"/>
      <c r="H601" s="20"/>
      <c r="I601" s="21">
        <v>77.884399999999999</v>
      </c>
      <c r="J601" s="22">
        <f>ROUND(I601*H601,2)</f>
        <v>0</v>
      </c>
      <c r="K601" s="23" t="e">
        <f>ROUND(G601/J601,4)</f>
        <v>#DIV/0!</v>
      </c>
      <c r="L601" s="24" t="e">
        <f>1-K601</f>
        <v>#DIV/0!</v>
      </c>
      <c r="M601" s="25" t="s">
        <v>3005</v>
      </c>
      <c r="N601" s="25" t="s">
        <v>3006</v>
      </c>
      <c r="O601" s="26" t="s">
        <v>3007</v>
      </c>
      <c r="P601" s="27" t="s">
        <v>74</v>
      </c>
      <c r="Q601" s="27" t="s">
        <v>25</v>
      </c>
      <c r="R601" s="21" t="s">
        <v>26</v>
      </c>
      <c r="S601" s="29">
        <v>522</v>
      </c>
      <c r="T601" s="1"/>
    </row>
    <row r="602" spans="1:34" x14ac:dyDescent="0.3">
      <c r="A602" s="31">
        <v>598</v>
      </c>
      <c r="B602" s="26" t="s">
        <v>3008</v>
      </c>
      <c r="C602" s="27" t="s">
        <v>3009</v>
      </c>
      <c r="D602" s="19">
        <v>46017</v>
      </c>
      <c r="E602" s="49"/>
      <c r="F602" s="49"/>
      <c r="G602" s="20"/>
      <c r="H602" s="20"/>
      <c r="I602" s="21">
        <v>77.884399999999999</v>
      </c>
      <c r="J602" s="22">
        <f>ROUND(I602*H602,2)</f>
        <v>0</v>
      </c>
      <c r="K602" s="23" t="e">
        <f>ROUND(G602/J602,4)</f>
        <v>#DIV/0!</v>
      </c>
      <c r="L602" s="24" t="e">
        <f>1-K602</f>
        <v>#DIV/0!</v>
      </c>
      <c r="M602" s="25"/>
      <c r="N602" s="25"/>
      <c r="O602" s="26" t="s">
        <v>3010</v>
      </c>
      <c r="P602" s="27" t="s">
        <v>3011</v>
      </c>
      <c r="Q602" s="27" t="s">
        <v>25</v>
      </c>
      <c r="R602" s="21" t="s">
        <v>39</v>
      </c>
      <c r="S602" s="29"/>
      <c r="T602" s="1"/>
    </row>
    <row r="603" spans="1:34" x14ac:dyDescent="0.3">
      <c r="A603" s="16">
        <v>599</v>
      </c>
      <c r="B603" s="17" t="s">
        <v>3012</v>
      </c>
      <c r="C603" s="18" t="s">
        <v>3013</v>
      </c>
      <c r="D603" s="19">
        <v>46017</v>
      </c>
      <c r="E603" s="49"/>
      <c r="F603" s="49"/>
      <c r="G603" s="20"/>
      <c r="H603" s="20"/>
      <c r="I603" s="21">
        <v>77.884399999999999</v>
      </c>
      <c r="J603" s="22">
        <f>ROUND(I603*H603,2)</f>
        <v>0</v>
      </c>
      <c r="K603" s="23" t="e">
        <f>ROUND(G603/J603,4)</f>
        <v>#DIV/0!</v>
      </c>
      <c r="L603" s="24" t="e">
        <f>1-K603</f>
        <v>#DIV/0!</v>
      </c>
      <c r="M603" s="25" t="s">
        <v>3014</v>
      </c>
      <c r="N603" s="25" t="s">
        <v>3015</v>
      </c>
      <c r="O603" s="26" t="s">
        <v>3016</v>
      </c>
      <c r="P603" s="27" t="s">
        <v>174</v>
      </c>
      <c r="Q603" s="27" t="s">
        <v>25</v>
      </c>
      <c r="R603" s="21" t="s">
        <v>26</v>
      </c>
      <c r="S603" s="29">
        <v>523</v>
      </c>
      <c r="T603" s="1"/>
    </row>
    <row r="604" spans="1:34" x14ac:dyDescent="0.3">
      <c r="A604" s="16">
        <v>600</v>
      </c>
      <c r="B604" s="17" t="s">
        <v>3017</v>
      </c>
      <c r="C604" s="18" t="s">
        <v>3018</v>
      </c>
      <c r="D604" s="19">
        <v>46017</v>
      </c>
      <c r="E604" s="49"/>
      <c r="F604" s="49"/>
      <c r="G604" s="20"/>
      <c r="H604" s="20"/>
      <c r="I604" s="21">
        <v>77.884399999999999</v>
      </c>
      <c r="J604" s="22">
        <f>ROUND(I604*H604,2)</f>
        <v>0</v>
      </c>
      <c r="K604" s="23" t="e">
        <f>ROUND(G604/J604,4)</f>
        <v>#DIV/0!</v>
      </c>
      <c r="L604" s="24" t="e">
        <f>1-K604</f>
        <v>#DIV/0!</v>
      </c>
      <c r="M604" s="25" t="s">
        <v>3019</v>
      </c>
      <c r="N604" s="25" t="s">
        <v>3020</v>
      </c>
      <c r="O604" s="26" t="s">
        <v>3021</v>
      </c>
      <c r="P604" s="27" t="s">
        <v>189</v>
      </c>
      <c r="Q604" s="27" t="s">
        <v>25</v>
      </c>
      <c r="R604" s="21" t="s">
        <v>26</v>
      </c>
      <c r="S604" s="29">
        <v>524</v>
      </c>
      <c r="T604" s="1"/>
    </row>
    <row r="605" spans="1:34" x14ac:dyDescent="0.3">
      <c r="A605" s="16">
        <v>601</v>
      </c>
      <c r="B605" s="17" t="s">
        <v>3022</v>
      </c>
      <c r="C605" s="18" t="s">
        <v>3023</v>
      </c>
      <c r="D605" s="19">
        <v>46017</v>
      </c>
      <c r="E605" s="49"/>
      <c r="F605" s="49"/>
      <c r="G605" s="20"/>
      <c r="H605" s="20"/>
      <c r="I605" s="21">
        <v>77.884399999999999</v>
      </c>
      <c r="J605" s="22">
        <f>ROUND(I605*H605,2)</f>
        <v>0</v>
      </c>
      <c r="K605" s="23" t="e">
        <f>ROUND(G605/J605,4)</f>
        <v>#DIV/0!</v>
      </c>
      <c r="L605" s="24" t="e">
        <f>1-K605</f>
        <v>#DIV/0!</v>
      </c>
      <c r="M605" s="25" t="s">
        <v>3024</v>
      </c>
      <c r="N605" s="25" t="s">
        <v>3025</v>
      </c>
      <c r="O605" s="26" t="s">
        <v>3026</v>
      </c>
      <c r="P605" s="27" t="s">
        <v>32</v>
      </c>
      <c r="Q605" s="27" t="s">
        <v>25</v>
      </c>
      <c r="R605" s="21" t="s">
        <v>26</v>
      </c>
      <c r="S605" s="29">
        <v>525</v>
      </c>
      <c r="T605" s="1"/>
    </row>
    <row r="606" spans="1:34" x14ac:dyDescent="0.3">
      <c r="A606" s="16">
        <v>602</v>
      </c>
      <c r="B606" s="17" t="s">
        <v>3027</v>
      </c>
      <c r="C606" s="18" t="s">
        <v>3028</v>
      </c>
      <c r="D606" s="19">
        <v>46017</v>
      </c>
      <c r="E606" s="49"/>
      <c r="F606" s="49"/>
      <c r="G606" s="20"/>
      <c r="H606" s="20"/>
      <c r="I606" s="21">
        <v>77.884399999999999</v>
      </c>
      <c r="J606" s="22">
        <f>ROUND(I606*H606,2)</f>
        <v>0</v>
      </c>
      <c r="K606" s="23" t="e">
        <f>ROUND(G606/J606,4)</f>
        <v>#DIV/0!</v>
      </c>
      <c r="L606" s="24" t="e">
        <f>1-K606</f>
        <v>#DIV/0!</v>
      </c>
      <c r="M606" s="25" t="s">
        <v>3029</v>
      </c>
      <c r="N606" s="25" t="s">
        <v>3030</v>
      </c>
      <c r="O606" s="26" t="s">
        <v>3031</v>
      </c>
      <c r="P606" s="27" t="s">
        <v>1148</v>
      </c>
      <c r="Q606" s="27" t="s">
        <v>25</v>
      </c>
      <c r="R606" s="21" t="s">
        <v>26</v>
      </c>
      <c r="S606" s="29">
        <v>526</v>
      </c>
      <c r="T606" s="1"/>
    </row>
    <row r="607" spans="1:34" x14ac:dyDescent="0.3">
      <c r="A607" s="31">
        <v>603</v>
      </c>
      <c r="B607" s="32" t="s">
        <v>3032</v>
      </c>
      <c r="C607" s="33" t="s">
        <v>3033</v>
      </c>
      <c r="D607" s="19">
        <v>46017</v>
      </c>
      <c r="E607" s="49"/>
      <c r="F607" s="49"/>
      <c r="G607" s="20"/>
      <c r="H607" s="20"/>
      <c r="I607" s="21">
        <v>77.884399999999999</v>
      </c>
      <c r="J607" s="22">
        <f>ROUND(I607*H607,2)</f>
        <v>0</v>
      </c>
      <c r="K607" s="23" t="e">
        <f>ROUND(G607/J607,4)</f>
        <v>#DIV/0!</v>
      </c>
      <c r="L607" s="24" t="e">
        <f>1-K607</f>
        <v>#DIV/0!</v>
      </c>
      <c r="M607" s="25" t="s">
        <v>3034</v>
      </c>
      <c r="N607" s="25" t="s">
        <v>3035</v>
      </c>
      <c r="O607" s="26" t="s">
        <v>3036</v>
      </c>
      <c r="P607" s="27" t="s">
        <v>32</v>
      </c>
      <c r="Q607" s="27" t="s">
        <v>25</v>
      </c>
      <c r="R607" s="21" t="s">
        <v>39</v>
      </c>
      <c r="S607" s="29">
        <v>527</v>
      </c>
      <c r="T607" s="1"/>
    </row>
    <row r="608" spans="1:34" x14ac:dyDescent="0.3">
      <c r="A608" s="16">
        <v>604</v>
      </c>
      <c r="B608" s="17" t="s">
        <v>3037</v>
      </c>
      <c r="C608" s="18" t="s">
        <v>3038</v>
      </c>
      <c r="D608" s="19">
        <v>46017</v>
      </c>
      <c r="E608" s="49"/>
      <c r="F608" s="49"/>
      <c r="G608" s="20"/>
      <c r="H608" s="20"/>
      <c r="I608" s="21">
        <v>77.884399999999999</v>
      </c>
      <c r="J608" s="22">
        <f>ROUND(I608*H608,2)</f>
        <v>0</v>
      </c>
      <c r="K608" s="23" t="e">
        <f>ROUND(G608/J608,4)</f>
        <v>#DIV/0!</v>
      </c>
      <c r="L608" s="24" t="e">
        <f>1-K608</f>
        <v>#DIV/0!</v>
      </c>
      <c r="M608" s="25" t="s">
        <v>3039</v>
      </c>
      <c r="N608" s="25" t="s">
        <v>3040</v>
      </c>
      <c r="O608" s="26" t="s">
        <v>3041</v>
      </c>
      <c r="P608" s="27" t="s">
        <v>622</v>
      </c>
      <c r="Q608" s="27" t="s">
        <v>25</v>
      </c>
      <c r="R608" s="21" t="s">
        <v>39</v>
      </c>
      <c r="S608" s="29">
        <v>528</v>
      </c>
      <c r="T608" s="1"/>
    </row>
    <row r="609" spans="1:34" x14ac:dyDescent="0.3">
      <c r="A609" s="16">
        <v>605</v>
      </c>
      <c r="B609" s="17" t="s">
        <v>3042</v>
      </c>
      <c r="C609" s="18" t="s">
        <v>3043</v>
      </c>
      <c r="D609" s="19">
        <v>46017</v>
      </c>
      <c r="E609" s="49"/>
      <c r="F609" s="49"/>
      <c r="G609" s="20"/>
      <c r="H609" s="20"/>
      <c r="I609" s="21">
        <v>77.884399999999999</v>
      </c>
      <c r="J609" s="22">
        <f>ROUND(I609*H609,2)</f>
        <v>0</v>
      </c>
      <c r="K609" s="23" t="e">
        <f>ROUND(G609/J609,4)</f>
        <v>#DIV/0!</v>
      </c>
      <c r="L609" s="24" t="e">
        <f>1-K609</f>
        <v>#DIV/0!</v>
      </c>
      <c r="M609" s="25" t="s">
        <v>3044</v>
      </c>
      <c r="N609" s="25" t="s">
        <v>3045</v>
      </c>
      <c r="O609" s="26" t="s">
        <v>3046</v>
      </c>
      <c r="P609" s="27" t="s">
        <v>250</v>
      </c>
      <c r="Q609" s="27" t="s">
        <v>25</v>
      </c>
      <c r="R609" s="21" t="s">
        <v>39</v>
      </c>
      <c r="S609" s="29">
        <v>529</v>
      </c>
      <c r="T609" s="1"/>
    </row>
    <row r="610" spans="1:34" x14ac:dyDescent="0.3">
      <c r="A610" s="31">
        <v>606</v>
      </c>
      <c r="B610" s="32" t="s">
        <v>3047</v>
      </c>
      <c r="C610" s="33" t="s">
        <v>3048</v>
      </c>
      <c r="D610" s="19">
        <v>46017</v>
      </c>
      <c r="E610" s="49"/>
      <c r="F610" s="49"/>
      <c r="G610" s="20"/>
      <c r="H610" s="20"/>
      <c r="I610" s="21">
        <v>77.884399999999999</v>
      </c>
      <c r="J610" s="22">
        <f>ROUND(I610*H610,2)</f>
        <v>0</v>
      </c>
      <c r="K610" s="23" t="e">
        <f>ROUND(G610/J610,4)</f>
        <v>#DIV/0!</v>
      </c>
      <c r="L610" s="24" t="e">
        <f>1-K610</f>
        <v>#DIV/0!</v>
      </c>
      <c r="M610" s="25" t="s">
        <v>3049</v>
      </c>
      <c r="N610" s="25" t="s">
        <v>3050</v>
      </c>
      <c r="O610" s="26" t="s">
        <v>3051</v>
      </c>
      <c r="P610" s="27" t="s">
        <v>3052</v>
      </c>
      <c r="Q610" s="27" t="s">
        <v>25</v>
      </c>
      <c r="R610" s="21" t="s">
        <v>39</v>
      </c>
      <c r="S610" s="29">
        <v>530</v>
      </c>
      <c r="T610" s="1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 spans="1:34" x14ac:dyDescent="0.3">
      <c r="A611" s="16">
        <v>607</v>
      </c>
      <c r="B611" s="17" t="s">
        <v>3053</v>
      </c>
      <c r="C611" s="18" t="s">
        <v>3054</v>
      </c>
      <c r="D611" s="19">
        <v>46017</v>
      </c>
      <c r="E611" s="49"/>
      <c r="F611" s="49"/>
      <c r="G611" s="20"/>
      <c r="H611" s="20"/>
      <c r="I611" s="21">
        <v>77.884399999999999</v>
      </c>
      <c r="J611" s="22">
        <f>ROUND(I611*H611,2)</f>
        <v>0</v>
      </c>
      <c r="K611" s="23" t="e">
        <f>ROUND(G611/J611,4)</f>
        <v>#DIV/0!</v>
      </c>
      <c r="L611" s="24" t="e">
        <f>1-K611</f>
        <v>#DIV/0!</v>
      </c>
      <c r="M611" s="25" t="s">
        <v>3055</v>
      </c>
      <c r="N611" s="25" t="s">
        <v>3056</v>
      </c>
      <c r="O611" s="26" t="s">
        <v>3057</v>
      </c>
      <c r="P611" s="27" t="s">
        <v>68</v>
      </c>
      <c r="Q611" s="27" t="s">
        <v>25</v>
      </c>
      <c r="R611" s="64" t="s">
        <v>39</v>
      </c>
      <c r="S611" s="29">
        <v>531</v>
      </c>
      <c r="T611" s="1"/>
    </row>
    <row r="612" spans="1:34" x14ac:dyDescent="0.3">
      <c r="A612" s="16">
        <v>608</v>
      </c>
      <c r="B612" s="17" t="s">
        <v>3058</v>
      </c>
      <c r="C612" s="18" t="s">
        <v>3059</v>
      </c>
      <c r="D612" s="19">
        <v>46017</v>
      </c>
      <c r="E612" s="49"/>
      <c r="F612" s="49"/>
      <c r="G612" s="20"/>
      <c r="H612" s="20"/>
      <c r="I612" s="21">
        <v>77.884399999999999</v>
      </c>
      <c r="J612" s="22">
        <f>ROUND(I612*H612,2)</f>
        <v>0</v>
      </c>
      <c r="K612" s="23" t="e">
        <f>ROUND(G612/J612,4)</f>
        <v>#DIV/0!</v>
      </c>
      <c r="L612" s="24" t="e">
        <f>1-K612</f>
        <v>#DIV/0!</v>
      </c>
      <c r="M612" s="25" t="s">
        <v>3060</v>
      </c>
      <c r="N612" s="25" t="s">
        <v>3061</v>
      </c>
      <c r="O612" s="26" t="s">
        <v>3062</v>
      </c>
      <c r="P612" s="27" t="s">
        <v>1048</v>
      </c>
      <c r="Q612" s="27" t="s">
        <v>25</v>
      </c>
      <c r="R612" s="21" t="s">
        <v>39</v>
      </c>
      <c r="S612" s="29">
        <v>532</v>
      </c>
      <c r="T612" s="1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 spans="1:34" x14ac:dyDescent="0.3">
      <c r="A613" s="16">
        <v>609</v>
      </c>
      <c r="B613" s="17" t="s">
        <v>3063</v>
      </c>
      <c r="C613" s="18" t="s">
        <v>3064</v>
      </c>
      <c r="D613" s="19">
        <v>46017</v>
      </c>
      <c r="E613" s="49"/>
      <c r="F613" s="49"/>
      <c r="G613" s="20"/>
      <c r="H613" s="20"/>
      <c r="I613" s="21">
        <v>77.884399999999999</v>
      </c>
      <c r="J613" s="22">
        <f>ROUND(I613*H613,2)</f>
        <v>0</v>
      </c>
      <c r="K613" s="23" t="e">
        <f>ROUND(G613/J613,4)</f>
        <v>#DIV/0!</v>
      </c>
      <c r="L613" s="24" t="e">
        <f>1-K613</f>
        <v>#DIV/0!</v>
      </c>
      <c r="M613" s="25" t="s">
        <v>3065</v>
      </c>
      <c r="N613" s="25" t="s">
        <v>3066</v>
      </c>
      <c r="O613" s="26" t="s">
        <v>3067</v>
      </c>
      <c r="P613" s="27" t="s">
        <v>351</v>
      </c>
      <c r="Q613" s="27" t="s">
        <v>25</v>
      </c>
      <c r="R613" s="64" t="s">
        <v>39</v>
      </c>
      <c r="S613" s="29">
        <v>533</v>
      </c>
      <c r="T613" s="1"/>
    </row>
    <row r="614" spans="1:34" x14ac:dyDescent="0.3">
      <c r="A614" s="16">
        <v>610</v>
      </c>
      <c r="B614" s="17" t="s">
        <v>3068</v>
      </c>
      <c r="C614" s="18" t="s">
        <v>3069</v>
      </c>
      <c r="D614" s="19">
        <v>46017</v>
      </c>
      <c r="E614" s="49"/>
      <c r="F614" s="49"/>
      <c r="G614" s="20"/>
      <c r="H614" s="20"/>
      <c r="I614" s="21">
        <v>77.884399999999999</v>
      </c>
      <c r="J614" s="22">
        <f>ROUND(I614*H614,2)</f>
        <v>0</v>
      </c>
      <c r="K614" s="23" t="e">
        <f>ROUND(G614/J614,4)</f>
        <v>#DIV/0!</v>
      </c>
      <c r="L614" s="24" t="e">
        <f>1-K614</f>
        <v>#DIV/0!</v>
      </c>
      <c r="M614" s="25" t="s">
        <v>3070</v>
      </c>
      <c r="N614" s="25" t="s">
        <v>3071</v>
      </c>
      <c r="O614" s="26" t="s">
        <v>3072</v>
      </c>
      <c r="P614" s="27" t="s">
        <v>1996</v>
      </c>
      <c r="Q614" s="27" t="s">
        <v>25</v>
      </c>
      <c r="R614" s="21" t="s">
        <v>26</v>
      </c>
      <c r="S614" s="29">
        <v>534</v>
      </c>
      <c r="T614" s="1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 spans="1:34" x14ac:dyDescent="0.3">
      <c r="A615" s="31">
        <v>611</v>
      </c>
      <c r="B615" s="26" t="s">
        <v>3073</v>
      </c>
      <c r="C615" s="27" t="s">
        <v>3074</v>
      </c>
      <c r="D615" s="19">
        <v>46017</v>
      </c>
      <c r="E615" s="49"/>
      <c r="F615" s="49"/>
      <c r="G615" s="20"/>
      <c r="H615" s="20"/>
      <c r="I615" s="21">
        <v>77.884399999999999</v>
      </c>
      <c r="J615" s="22">
        <f>ROUND(I615*H615,2)</f>
        <v>0</v>
      </c>
      <c r="K615" s="23" t="e">
        <f>ROUND(G615/J615,4)</f>
        <v>#DIV/0!</v>
      </c>
      <c r="L615" s="24" t="e">
        <f>1-K615</f>
        <v>#DIV/0!</v>
      </c>
      <c r="M615" s="25"/>
      <c r="N615" s="25"/>
      <c r="O615" s="26" t="s">
        <v>3075</v>
      </c>
      <c r="P615" s="27" t="s">
        <v>3076</v>
      </c>
      <c r="Q615" s="27" t="s">
        <v>600</v>
      </c>
      <c r="R615" s="21" t="s">
        <v>26</v>
      </c>
      <c r="S615" s="29"/>
      <c r="T615" s="1"/>
    </row>
    <row r="616" spans="1:34" x14ac:dyDescent="0.3">
      <c r="A616" s="16">
        <v>612</v>
      </c>
      <c r="B616" s="17" t="s">
        <v>3077</v>
      </c>
      <c r="C616" s="18" t="s">
        <v>3078</v>
      </c>
      <c r="D616" s="19">
        <v>46017</v>
      </c>
      <c r="E616" s="49"/>
      <c r="F616" s="49"/>
      <c r="G616" s="20"/>
      <c r="H616" s="20"/>
      <c r="I616" s="21">
        <v>77.884399999999999</v>
      </c>
      <c r="J616" s="22">
        <f>ROUND(I616*H616,2)</f>
        <v>0</v>
      </c>
      <c r="K616" s="23" t="e">
        <f>ROUND(G616/J616,4)</f>
        <v>#DIV/0!</v>
      </c>
      <c r="L616" s="24" t="e">
        <f>1-K616</f>
        <v>#DIV/0!</v>
      </c>
      <c r="M616" s="25" t="s">
        <v>3079</v>
      </c>
      <c r="N616" s="25" t="s">
        <v>3080</v>
      </c>
      <c r="O616" s="26" t="s">
        <v>3081</v>
      </c>
      <c r="P616" s="27" t="s">
        <v>918</v>
      </c>
      <c r="Q616" s="27" t="s">
        <v>25</v>
      </c>
      <c r="R616" s="21" t="s">
        <v>26</v>
      </c>
      <c r="S616" s="29">
        <v>535</v>
      </c>
      <c r="T616" s="1"/>
    </row>
    <row r="617" spans="1:34" x14ac:dyDescent="0.3">
      <c r="A617" s="16">
        <v>613</v>
      </c>
      <c r="B617" s="17" t="s">
        <v>3082</v>
      </c>
      <c r="C617" s="18" t="s">
        <v>3083</v>
      </c>
      <c r="D617" s="19">
        <v>46017</v>
      </c>
      <c r="E617" s="49"/>
      <c r="F617" s="49"/>
      <c r="G617" s="20"/>
      <c r="H617" s="20"/>
      <c r="I617" s="21">
        <v>77.884399999999999</v>
      </c>
      <c r="J617" s="22">
        <f>ROUND(I617*H617,2)</f>
        <v>0</v>
      </c>
      <c r="K617" s="23" t="e">
        <f>ROUND(G617/J617,4)</f>
        <v>#DIV/0!</v>
      </c>
      <c r="L617" s="24" t="e">
        <f>1-K617</f>
        <v>#DIV/0!</v>
      </c>
      <c r="M617" s="25" t="s">
        <v>3084</v>
      </c>
      <c r="N617" s="25" t="s">
        <v>3085</v>
      </c>
      <c r="O617" s="26" t="s">
        <v>3086</v>
      </c>
      <c r="P617" s="27" t="s">
        <v>1085</v>
      </c>
      <c r="Q617" s="27" t="s">
        <v>25</v>
      </c>
      <c r="R617" s="21" t="s">
        <v>26</v>
      </c>
      <c r="S617" s="29">
        <v>536</v>
      </c>
      <c r="T617" s="1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 spans="1:34" x14ac:dyDescent="0.3">
      <c r="A618" s="16">
        <v>614</v>
      </c>
      <c r="B618" s="17" t="s">
        <v>3087</v>
      </c>
      <c r="C618" s="18" t="s">
        <v>3088</v>
      </c>
      <c r="D618" s="19">
        <v>46017</v>
      </c>
      <c r="E618" s="49"/>
      <c r="F618" s="49"/>
      <c r="G618" s="20"/>
      <c r="H618" s="20"/>
      <c r="I618" s="21">
        <v>77.884399999999999</v>
      </c>
      <c r="J618" s="22">
        <f>ROUND(I618*H618,2)</f>
        <v>0</v>
      </c>
      <c r="K618" s="23" t="e">
        <f>ROUND(G618/J618,4)</f>
        <v>#DIV/0!</v>
      </c>
      <c r="L618" s="24" t="e">
        <f>1-K618</f>
        <v>#DIV/0!</v>
      </c>
      <c r="M618" s="25" t="s">
        <v>3089</v>
      </c>
      <c r="N618" s="25" t="s">
        <v>3090</v>
      </c>
      <c r="O618" s="26" t="s">
        <v>3091</v>
      </c>
      <c r="P618" s="27" t="s">
        <v>74</v>
      </c>
      <c r="Q618" s="27" t="s">
        <v>25</v>
      </c>
      <c r="R618" s="64" t="s">
        <v>26</v>
      </c>
      <c r="S618" s="29">
        <v>537</v>
      </c>
      <c r="T618" s="1"/>
    </row>
    <row r="619" spans="1:34" x14ac:dyDescent="0.3">
      <c r="A619" s="16">
        <v>615</v>
      </c>
      <c r="B619" s="17" t="s">
        <v>3092</v>
      </c>
      <c r="C619" s="18" t="s">
        <v>3093</v>
      </c>
      <c r="D619" s="19">
        <v>46017</v>
      </c>
      <c r="E619" s="49"/>
      <c r="F619" s="49"/>
      <c r="G619" s="20"/>
      <c r="H619" s="20"/>
      <c r="I619" s="21">
        <v>77.884399999999999</v>
      </c>
      <c r="J619" s="22">
        <f>ROUND(I619*H619,2)</f>
        <v>0</v>
      </c>
      <c r="K619" s="23" t="e">
        <f>ROUND(G619/J619,4)</f>
        <v>#DIV/0!</v>
      </c>
      <c r="L619" s="24" t="e">
        <f>1-K619</f>
        <v>#DIV/0!</v>
      </c>
      <c r="M619" s="25" t="s">
        <v>3094</v>
      </c>
      <c r="N619" s="25" t="s">
        <v>3095</v>
      </c>
      <c r="O619" s="26" t="s">
        <v>3096</v>
      </c>
      <c r="P619" s="27" t="s">
        <v>45</v>
      </c>
      <c r="Q619" s="27" t="s">
        <v>25</v>
      </c>
      <c r="R619" s="21" t="s">
        <v>26</v>
      </c>
      <c r="S619" s="29">
        <v>538</v>
      </c>
      <c r="T619" s="1"/>
    </row>
    <row r="620" spans="1:34" x14ac:dyDescent="0.3">
      <c r="A620" s="16">
        <v>616</v>
      </c>
      <c r="B620" s="17" t="s">
        <v>3097</v>
      </c>
      <c r="C620" s="18" t="s">
        <v>3098</v>
      </c>
      <c r="D620" s="19">
        <v>46017</v>
      </c>
      <c r="E620" s="49"/>
      <c r="F620" s="49"/>
      <c r="G620" s="20"/>
      <c r="H620" s="20"/>
      <c r="I620" s="21">
        <v>77.884399999999999</v>
      </c>
      <c r="J620" s="22">
        <f>ROUND(I620*H620,2)</f>
        <v>0</v>
      </c>
      <c r="K620" s="23" t="e">
        <f>ROUND(G620/J620,4)</f>
        <v>#DIV/0!</v>
      </c>
      <c r="L620" s="24" t="e">
        <f>1-K620</f>
        <v>#DIV/0!</v>
      </c>
      <c r="M620" s="25" t="s">
        <v>3099</v>
      </c>
      <c r="N620" s="25" t="s">
        <v>3100</v>
      </c>
      <c r="O620" s="26" t="s">
        <v>3101</v>
      </c>
      <c r="P620" s="27" t="s">
        <v>1519</v>
      </c>
      <c r="Q620" s="27" t="s">
        <v>25</v>
      </c>
      <c r="R620" s="21" t="s">
        <v>26</v>
      </c>
      <c r="S620" s="29">
        <v>539</v>
      </c>
      <c r="T620" s="1"/>
    </row>
    <row r="621" spans="1:34" x14ac:dyDescent="0.3">
      <c r="A621" s="16">
        <v>617</v>
      </c>
      <c r="B621" s="17" t="s">
        <v>3102</v>
      </c>
      <c r="C621" s="18" t="s">
        <v>3103</v>
      </c>
      <c r="D621" s="19">
        <v>46017</v>
      </c>
      <c r="E621" s="49"/>
      <c r="F621" s="49"/>
      <c r="G621" s="20"/>
      <c r="H621" s="20"/>
      <c r="I621" s="21">
        <v>77.884399999999999</v>
      </c>
      <c r="J621" s="22">
        <f>ROUND(I621*H621,2)</f>
        <v>0</v>
      </c>
      <c r="K621" s="23" t="e">
        <f>ROUND(G621/J621,4)</f>
        <v>#DIV/0!</v>
      </c>
      <c r="L621" s="24" t="e">
        <f>1-K621</f>
        <v>#DIV/0!</v>
      </c>
      <c r="M621" s="25" t="s">
        <v>3104</v>
      </c>
      <c r="N621" s="25" t="s">
        <v>3105</v>
      </c>
      <c r="O621" s="26" t="s">
        <v>3106</v>
      </c>
      <c r="P621" s="27" t="s">
        <v>32</v>
      </c>
      <c r="Q621" s="27" t="s">
        <v>25</v>
      </c>
      <c r="R621" s="21" t="s">
        <v>26</v>
      </c>
      <c r="S621" s="29">
        <v>540</v>
      </c>
      <c r="T621" s="1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 spans="1:34" x14ac:dyDescent="0.3">
      <c r="A622" s="16">
        <v>618</v>
      </c>
      <c r="B622" s="17" t="s">
        <v>3107</v>
      </c>
      <c r="C622" s="18" t="s">
        <v>3108</v>
      </c>
      <c r="D622" s="19">
        <v>46017</v>
      </c>
      <c r="E622" s="49"/>
      <c r="F622" s="49"/>
      <c r="G622" s="20"/>
      <c r="H622" s="20"/>
      <c r="I622" s="21">
        <v>77.884399999999999</v>
      </c>
      <c r="J622" s="22">
        <f>ROUND(I622*H622,2)</f>
        <v>0</v>
      </c>
      <c r="K622" s="23" t="e">
        <f>ROUND(G622/J622,4)</f>
        <v>#DIV/0!</v>
      </c>
      <c r="L622" s="24" t="e">
        <f>1-K622</f>
        <v>#DIV/0!</v>
      </c>
      <c r="M622" s="25" t="s">
        <v>3109</v>
      </c>
      <c r="N622" s="25" t="s">
        <v>3110</v>
      </c>
      <c r="O622" s="26" t="s">
        <v>3111</v>
      </c>
      <c r="P622" s="27" t="s">
        <v>32</v>
      </c>
      <c r="Q622" s="27" t="s">
        <v>25</v>
      </c>
      <c r="R622" s="21" t="s">
        <v>26</v>
      </c>
      <c r="S622" s="29">
        <v>541</v>
      </c>
      <c r="T622" s="1"/>
    </row>
    <row r="623" spans="1:34" x14ac:dyDescent="0.3">
      <c r="A623" s="31">
        <v>619</v>
      </c>
      <c r="B623" s="32" t="s">
        <v>3112</v>
      </c>
      <c r="C623" s="33" t="s">
        <v>3113</v>
      </c>
      <c r="D623" s="19">
        <v>46017</v>
      </c>
      <c r="E623" s="49"/>
      <c r="F623" s="49"/>
      <c r="G623" s="20"/>
      <c r="H623" s="20"/>
      <c r="I623" s="21">
        <v>77.884399999999999</v>
      </c>
      <c r="J623" s="22">
        <f>ROUND(I623*H623,2)</f>
        <v>0</v>
      </c>
      <c r="K623" s="23" t="e">
        <f>ROUND(G623/J623,4)</f>
        <v>#DIV/0!</v>
      </c>
      <c r="L623" s="24" t="e">
        <f>1-K623</f>
        <v>#DIV/0!</v>
      </c>
      <c r="M623" s="25" t="s">
        <v>3114</v>
      </c>
      <c r="N623" s="25" t="s">
        <v>3115</v>
      </c>
      <c r="O623" s="26" t="s">
        <v>3116</v>
      </c>
      <c r="P623" s="27" t="s">
        <v>3117</v>
      </c>
      <c r="Q623" s="27" t="s">
        <v>25</v>
      </c>
      <c r="R623" s="21" t="s">
        <v>39</v>
      </c>
      <c r="S623" s="29">
        <v>542</v>
      </c>
      <c r="T623" s="1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 spans="1:34" x14ac:dyDescent="0.3">
      <c r="A624" s="31">
        <v>620</v>
      </c>
      <c r="B624" s="32" t="s">
        <v>3118</v>
      </c>
      <c r="C624" s="33" t="s">
        <v>3119</v>
      </c>
      <c r="D624" s="19">
        <v>46017</v>
      </c>
      <c r="E624" s="49"/>
      <c r="F624" s="49"/>
      <c r="G624" s="20"/>
      <c r="H624" s="20"/>
      <c r="I624" s="21">
        <v>77.884399999999999</v>
      </c>
      <c r="J624" s="22">
        <f>ROUND(I624*H624,2)</f>
        <v>0</v>
      </c>
      <c r="K624" s="23" t="e">
        <f>ROUND(G624/J624,4)</f>
        <v>#DIV/0!</v>
      </c>
      <c r="L624" s="24" t="e">
        <f>1-K624</f>
        <v>#DIV/0!</v>
      </c>
      <c r="M624" s="25" t="s">
        <v>3120</v>
      </c>
      <c r="N624" s="25" t="s">
        <v>3121</v>
      </c>
      <c r="O624" s="26" t="s">
        <v>3122</v>
      </c>
      <c r="P624" s="27" t="s">
        <v>3123</v>
      </c>
      <c r="Q624" s="27" t="s">
        <v>25</v>
      </c>
      <c r="R624" s="64" t="s">
        <v>39</v>
      </c>
      <c r="S624" s="29">
        <v>543</v>
      </c>
      <c r="T624" s="1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 spans="1:34" x14ac:dyDescent="0.3">
      <c r="A625" s="16">
        <v>621</v>
      </c>
      <c r="B625" s="17" t="s">
        <v>3124</v>
      </c>
      <c r="C625" s="18" t="s">
        <v>3125</v>
      </c>
      <c r="D625" s="19">
        <v>46017</v>
      </c>
      <c r="E625" s="49"/>
      <c r="F625" s="49"/>
      <c r="G625" s="20"/>
      <c r="H625" s="20"/>
      <c r="I625" s="21">
        <v>77.884399999999999</v>
      </c>
      <c r="J625" s="22">
        <f>ROUND(I625*H625,2)</f>
        <v>0</v>
      </c>
      <c r="K625" s="23" t="e">
        <f>ROUND(G625/J625,4)</f>
        <v>#DIV/0!</v>
      </c>
      <c r="L625" s="24" t="e">
        <f>1-K625</f>
        <v>#DIV/0!</v>
      </c>
      <c r="M625" s="25" t="s">
        <v>3126</v>
      </c>
      <c r="N625" s="25" t="s">
        <v>3127</v>
      </c>
      <c r="O625" s="26" t="s">
        <v>3128</v>
      </c>
      <c r="P625" s="27" t="s">
        <v>1687</v>
      </c>
      <c r="Q625" s="27" t="s">
        <v>25</v>
      </c>
      <c r="R625" s="21" t="s">
        <v>39</v>
      </c>
      <c r="S625" s="29">
        <v>544</v>
      </c>
      <c r="T625" s="1"/>
    </row>
    <row r="626" spans="1:34" x14ac:dyDescent="0.3">
      <c r="A626" s="16">
        <v>622</v>
      </c>
      <c r="B626" s="17" t="s">
        <v>3129</v>
      </c>
      <c r="C626" s="18" t="s">
        <v>3130</v>
      </c>
      <c r="D626" s="19">
        <v>46017</v>
      </c>
      <c r="E626" s="49"/>
      <c r="F626" s="49"/>
      <c r="G626" s="20"/>
      <c r="H626" s="20"/>
      <c r="I626" s="21">
        <v>77.884399999999999</v>
      </c>
      <c r="J626" s="22">
        <f>ROUND(I626*H626,2)</f>
        <v>0</v>
      </c>
      <c r="K626" s="23" t="e">
        <f>ROUND(G626/J626,4)</f>
        <v>#DIV/0!</v>
      </c>
      <c r="L626" s="24" t="e">
        <f>1-K626</f>
        <v>#DIV/0!</v>
      </c>
      <c r="M626" s="25" t="s">
        <v>3131</v>
      </c>
      <c r="N626" s="25" t="s">
        <v>3132</v>
      </c>
      <c r="O626" s="26" t="s">
        <v>3133</v>
      </c>
      <c r="P626" s="27" t="s">
        <v>174</v>
      </c>
      <c r="Q626" s="27" t="s">
        <v>25</v>
      </c>
      <c r="R626" s="21" t="s">
        <v>39</v>
      </c>
      <c r="S626" s="29">
        <v>545</v>
      </c>
      <c r="T626" s="1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 spans="1:34" x14ac:dyDescent="0.3">
      <c r="A627" s="16">
        <v>623</v>
      </c>
      <c r="B627" s="17" t="s">
        <v>3134</v>
      </c>
      <c r="C627" s="18" t="s">
        <v>3135</v>
      </c>
      <c r="D627" s="19">
        <v>46017</v>
      </c>
      <c r="E627" s="49"/>
      <c r="F627" s="49"/>
      <c r="G627" s="20"/>
      <c r="H627" s="20"/>
      <c r="I627" s="21">
        <v>77.884399999999999</v>
      </c>
      <c r="J627" s="22">
        <f>ROUND(I627*H627,2)</f>
        <v>0</v>
      </c>
      <c r="K627" s="23" t="e">
        <f>ROUND(G627/J627,4)</f>
        <v>#DIV/0!</v>
      </c>
      <c r="L627" s="24" t="e">
        <f>1-K627</f>
        <v>#DIV/0!</v>
      </c>
      <c r="M627" s="25" t="s">
        <v>3136</v>
      </c>
      <c r="N627" s="25" t="s">
        <v>3137</v>
      </c>
      <c r="O627" s="26" t="s">
        <v>3138</v>
      </c>
      <c r="P627" s="27" t="s">
        <v>189</v>
      </c>
      <c r="Q627" s="27" t="s">
        <v>25</v>
      </c>
      <c r="R627" s="64" t="s">
        <v>39</v>
      </c>
      <c r="S627" s="29">
        <v>546</v>
      </c>
      <c r="T627" s="1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 spans="1:34" x14ac:dyDescent="0.3">
      <c r="A628" s="31">
        <v>624</v>
      </c>
      <c r="B628" s="26" t="s">
        <v>3139</v>
      </c>
      <c r="C628" s="27" t="s">
        <v>3140</v>
      </c>
      <c r="D628" s="19">
        <v>46017</v>
      </c>
      <c r="E628" s="49"/>
      <c r="F628" s="49"/>
      <c r="G628" s="20"/>
      <c r="H628" s="20"/>
      <c r="I628" s="21">
        <v>77.884399999999999</v>
      </c>
      <c r="J628" s="22">
        <f>ROUND(I628*H628,2)</f>
        <v>0</v>
      </c>
      <c r="K628" s="23" t="e">
        <f>ROUND(G628/J628,4)</f>
        <v>#DIV/0!</v>
      </c>
      <c r="L628" s="24" t="e">
        <f>1-K628</f>
        <v>#DIV/0!</v>
      </c>
      <c r="M628" s="25"/>
      <c r="N628" s="25"/>
      <c r="O628" s="26" t="s">
        <v>3141</v>
      </c>
      <c r="P628" s="27" t="s">
        <v>3142</v>
      </c>
      <c r="Q628" s="27" t="s">
        <v>25</v>
      </c>
      <c r="R628" s="21" t="s">
        <v>39</v>
      </c>
      <c r="S628" s="29"/>
      <c r="T628" s="1"/>
    </row>
    <row r="629" spans="1:34" x14ac:dyDescent="0.3">
      <c r="A629" s="16">
        <v>625</v>
      </c>
      <c r="B629" s="17" t="s">
        <v>3143</v>
      </c>
      <c r="C629" s="18" t="s">
        <v>3144</v>
      </c>
      <c r="D629" s="19">
        <v>46017</v>
      </c>
      <c r="E629" s="49"/>
      <c r="F629" s="49"/>
      <c r="G629" s="20"/>
      <c r="H629" s="20"/>
      <c r="I629" s="21">
        <v>77.884399999999999</v>
      </c>
      <c r="J629" s="22">
        <f>ROUND(I629*H629,2)</f>
        <v>0</v>
      </c>
      <c r="K629" s="23" t="e">
        <f>ROUND(G629/J629,4)</f>
        <v>#DIV/0!</v>
      </c>
      <c r="L629" s="24" t="e">
        <f>1-K629</f>
        <v>#DIV/0!</v>
      </c>
      <c r="M629" s="25" t="s">
        <v>3145</v>
      </c>
      <c r="N629" s="25" t="s">
        <v>3146</v>
      </c>
      <c r="O629" s="26" t="s">
        <v>3147</v>
      </c>
      <c r="P629" s="27" t="s">
        <v>250</v>
      </c>
      <c r="Q629" s="27" t="s">
        <v>25</v>
      </c>
      <c r="R629" s="21" t="s">
        <v>39</v>
      </c>
      <c r="S629" s="29">
        <v>547</v>
      </c>
      <c r="T629" s="1"/>
    </row>
    <row r="630" spans="1:34" x14ac:dyDescent="0.3">
      <c r="A630" s="16">
        <v>626</v>
      </c>
      <c r="B630" s="17" t="s">
        <v>3148</v>
      </c>
      <c r="C630" s="18" t="s">
        <v>3149</v>
      </c>
      <c r="D630" s="19">
        <v>46017</v>
      </c>
      <c r="E630" s="49"/>
      <c r="F630" s="49"/>
      <c r="G630" s="20"/>
      <c r="H630" s="20"/>
      <c r="I630" s="21">
        <v>77.884399999999999</v>
      </c>
      <c r="J630" s="22">
        <f>ROUND(I630*H630,2)</f>
        <v>0</v>
      </c>
      <c r="K630" s="23" t="e">
        <f>ROUND(G630/J630,4)</f>
        <v>#DIV/0!</v>
      </c>
      <c r="L630" s="24" t="e">
        <f>1-K630</f>
        <v>#DIV/0!</v>
      </c>
      <c r="M630" s="25" t="s">
        <v>3150</v>
      </c>
      <c r="N630" s="25" t="s">
        <v>3151</v>
      </c>
      <c r="O630" s="26" t="s">
        <v>3152</v>
      </c>
      <c r="P630" s="27" t="s">
        <v>123</v>
      </c>
      <c r="Q630" s="27" t="s">
        <v>25</v>
      </c>
      <c r="R630" s="21" t="s">
        <v>39</v>
      </c>
      <c r="S630" s="29">
        <v>548</v>
      </c>
      <c r="T630" s="1"/>
    </row>
    <row r="631" spans="1:34" x14ac:dyDescent="0.3">
      <c r="A631" s="16">
        <v>627</v>
      </c>
      <c r="B631" s="17" t="s">
        <v>3153</v>
      </c>
      <c r="C631" s="18" t="s">
        <v>3154</v>
      </c>
      <c r="D631" s="19">
        <v>46017</v>
      </c>
      <c r="E631" s="49"/>
      <c r="F631" s="49"/>
      <c r="G631" s="20"/>
      <c r="H631" s="20"/>
      <c r="I631" s="21">
        <v>77.884399999999999</v>
      </c>
      <c r="J631" s="22">
        <f>ROUND(I631*H631,2)</f>
        <v>0</v>
      </c>
      <c r="K631" s="23" t="e">
        <f>ROUND(G631/J631,4)</f>
        <v>#DIV/0!</v>
      </c>
      <c r="L631" s="24" t="e">
        <f>1-K631</f>
        <v>#DIV/0!</v>
      </c>
      <c r="M631" s="25" t="s">
        <v>3155</v>
      </c>
      <c r="N631" s="25" t="s">
        <v>3156</v>
      </c>
      <c r="O631" s="26" t="s">
        <v>3157</v>
      </c>
      <c r="P631" s="27" t="s">
        <v>74</v>
      </c>
      <c r="Q631" s="27" t="s">
        <v>25</v>
      </c>
      <c r="R631" s="64" t="s">
        <v>39</v>
      </c>
      <c r="S631" s="29">
        <v>549</v>
      </c>
      <c r="T631" s="1"/>
    </row>
    <row r="632" spans="1:34" x14ac:dyDescent="0.3">
      <c r="A632" s="31">
        <v>628</v>
      </c>
      <c r="B632" s="32" t="s">
        <v>3158</v>
      </c>
      <c r="C632" s="33" t="s">
        <v>3159</v>
      </c>
      <c r="D632" s="19">
        <v>46017</v>
      </c>
      <c r="E632" s="49"/>
      <c r="F632" s="49"/>
      <c r="G632" s="20"/>
      <c r="H632" s="20"/>
      <c r="I632" s="21">
        <v>77.884399999999999</v>
      </c>
      <c r="J632" s="22">
        <f>ROUND(I632*H632,2)</f>
        <v>0</v>
      </c>
      <c r="K632" s="23" t="e">
        <f>ROUND(G632/J632,4)</f>
        <v>#DIV/0!</v>
      </c>
      <c r="L632" s="24" t="e">
        <f>1-K632</f>
        <v>#DIV/0!</v>
      </c>
      <c r="M632" s="25" t="s">
        <v>3160</v>
      </c>
      <c r="N632" s="25" t="s">
        <v>3161</v>
      </c>
      <c r="O632" s="26" t="s">
        <v>3162</v>
      </c>
      <c r="P632" s="27" t="s">
        <v>189</v>
      </c>
      <c r="Q632" s="27" t="s">
        <v>25</v>
      </c>
      <c r="R632" s="21" t="s">
        <v>39</v>
      </c>
      <c r="S632" s="29">
        <v>550</v>
      </c>
      <c r="T632" s="1"/>
    </row>
    <row r="633" spans="1:34" x14ac:dyDescent="0.3">
      <c r="A633" s="16">
        <v>629</v>
      </c>
      <c r="B633" s="17" t="s">
        <v>3163</v>
      </c>
      <c r="C633" s="18" t="s">
        <v>3164</v>
      </c>
      <c r="D633" s="19">
        <v>46017</v>
      </c>
      <c r="E633" s="49"/>
      <c r="F633" s="49"/>
      <c r="G633" s="20"/>
      <c r="H633" s="20"/>
      <c r="I633" s="21">
        <v>77.884399999999999</v>
      </c>
      <c r="J633" s="22">
        <f>ROUND(I633*H633,2)</f>
        <v>0</v>
      </c>
      <c r="K633" s="23" t="e">
        <f>ROUND(G633/J633,4)</f>
        <v>#DIV/0!</v>
      </c>
      <c r="L633" s="24" t="e">
        <f>1-K633</f>
        <v>#DIV/0!</v>
      </c>
      <c r="M633" s="25" t="s">
        <v>3165</v>
      </c>
      <c r="N633" s="25" t="s">
        <v>3166</v>
      </c>
      <c r="O633" s="26" t="s">
        <v>3167</v>
      </c>
      <c r="P633" s="27" t="s">
        <v>123</v>
      </c>
      <c r="Q633" s="27" t="s">
        <v>25</v>
      </c>
      <c r="R633" s="64" t="s">
        <v>39</v>
      </c>
      <c r="S633" s="29">
        <v>551</v>
      </c>
      <c r="T633" s="1"/>
    </row>
    <row r="634" spans="1:34" x14ac:dyDescent="0.3">
      <c r="A634" s="16">
        <v>630</v>
      </c>
      <c r="B634" s="17" t="s">
        <v>3168</v>
      </c>
      <c r="C634" s="18" t="s">
        <v>3169</v>
      </c>
      <c r="D634" s="19">
        <v>46017</v>
      </c>
      <c r="E634" s="49"/>
      <c r="F634" s="49"/>
      <c r="G634" s="20"/>
      <c r="H634" s="20"/>
      <c r="I634" s="21">
        <v>77.884399999999999</v>
      </c>
      <c r="J634" s="22">
        <f>ROUND(I634*H634,2)</f>
        <v>0</v>
      </c>
      <c r="K634" s="23" t="e">
        <f>ROUND(G634/J634,4)</f>
        <v>#DIV/0!</v>
      </c>
      <c r="L634" s="24" t="e">
        <f>1-K634</f>
        <v>#DIV/0!</v>
      </c>
      <c r="M634" s="25" t="s">
        <v>3170</v>
      </c>
      <c r="N634" s="25" t="s">
        <v>3171</v>
      </c>
      <c r="O634" s="26" t="s">
        <v>3172</v>
      </c>
      <c r="P634" s="27" t="s">
        <v>351</v>
      </c>
      <c r="Q634" s="27" t="s">
        <v>25</v>
      </c>
      <c r="R634" s="21" t="s">
        <v>39</v>
      </c>
      <c r="S634" s="29">
        <v>552</v>
      </c>
      <c r="T634" s="1"/>
    </row>
    <row r="635" spans="1:34" x14ac:dyDescent="0.3">
      <c r="A635" s="31">
        <v>631</v>
      </c>
      <c r="B635" s="32" t="s">
        <v>3173</v>
      </c>
      <c r="C635" s="33" t="s">
        <v>3174</v>
      </c>
      <c r="D635" s="19">
        <v>46017</v>
      </c>
      <c r="E635" s="49"/>
      <c r="F635" s="49"/>
      <c r="G635" s="20"/>
      <c r="H635" s="20"/>
      <c r="I635" s="21">
        <v>77.884399999999999</v>
      </c>
      <c r="J635" s="22">
        <f>ROUND(I635*H635,2)</f>
        <v>0</v>
      </c>
      <c r="K635" s="23" t="e">
        <f>ROUND(G635/J635,4)</f>
        <v>#DIV/0!</v>
      </c>
      <c r="L635" s="24" t="e">
        <f>1-K635</f>
        <v>#DIV/0!</v>
      </c>
      <c r="M635" s="25" t="s">
        <v>3175</v>
      </c>
      <c r="N635" s="25" t="s">
        <v>3176</v>
      </c>
      <c r="O635" s="26" t="s">
        <v>3177</v>
      </c>
      <c r="P635" s="27" t="s">
        <v>3178</v>
      </c>
      <c r="Q635" s="27" t="s">
        <v>25</v>
      </c>
      <c r="R635" s="21" t="s">
        <v>39</v>
      </c>
      <c r="S635" s="29">
        <v>553</v>
      </c>
      <c r="T635" s="1"/>
    </row>
    <row r="636" spans="1:34" x14ac:dyDescent="0.3">
      <c r="A636" s="16">
        <v>632</v>
      </c>
      <c r="B636" s="17" t="s">
        <v>3179</v>
      </c>
      <c r="C636" s="18" t="s">
        <v>3180</v>
      </c>
      <c r="D636" s="19">
        <v>46017</v>
      </c>
      <c r="E636" s="49"/>
      <c r="F636" s="49"/>
      <c r="G636" s="20"/>
      <c r="H636" s="20"/>
      <c r="I636" s="21">
        <v>77.884399999999999</v>
      </c>
      <c r="J636" s="22">
        <f>ROUND(I636*H636,2)</f>
        <v>0</v>
      </c>
      <c r="K636" s="23" t="e">
        <f>ROUND(G636/J636,4)</f>
        <v>#DIV/0!</v>
      </c>
      <c r="L636" s="24" t="e">
        <f>1-K636</f>
        <v>#DIV/0!</v>
      </c>
      <c r="M636" s="25" t="s">
        <v>3181</v>
      </c>
      <c r="N636" s="25" t="s">
        <v>3182</v>
      </c>
      <c r="O636" s="26" t="s">
        <v>3183</v>
      </c>
      <c r="P636" s="27" t="s">
        <v>1048</v>
      </c>
      <c r="Q636" s="27" t="s">
        <v>25</v>
      </c>
      <c r="R636" s="21" t="s">
        <v>39</v>
      </c>
      <c r="S636" s="29">
        <v>554</v>
      </c>
      <c r="T636" s="1"/>
    </row>
    <row r="637" spans="1:34" x14ac:dyDescent="0.3">
      <c r="A637" s="31">
        <v>633</v>
      </c>
      <c r="B637" s="26" t="s">
        <v>3184</v>
      </c>
      <c r="C637" s="27" t="s">
        <v>3185</v>
      </c>
      <c r="D637" s="19">
        <v>46017</v>
      </c>
      <c r="E637" s="49"/>
      <c r="F637" s="49"/>
      <c r="G637" s="20"/>
      <c r="H637" s="20"/>
      <c r="I637" s="21">
        <v>77.884399999999999</v>
      </c>
      <c r="J637" s="22">
        <f>ROUND(I637*H637,2)</f>
        <v>0</v>
      </c>
      <c r="K637" s="23" t="e">
        <f>ROUND(G637/J637,4)</f>
        <v>#DIV/0!</v>
      </c>
      <c r="L637" s="24" t="e">
        <f>1-K637</f>
        <v>#DIV/0!</v>
      </c>
      <c r="M637" s="25"/>
      <c r="N637" s="25"/>
      <c r="O637" s="26" t="s">
        <v>3186</v>
      </c>
      <c r="P637" s="27" t="s">
        <v>1030</v>
      </c>
      <c r="Q637" s="27" t="s">
        <v>25</v>
      </c>
      <c r="R637" s="21" t="s">
        <v>39</v>
      </c>
      <c r="S637" s="29"/>
      <c r="T637" s="1"/>
    </row>
    <row r="638" spans="1:34" x14ac:dyDescent="0.3">
      <c r="A638" s="16">
        <v>634</v>
      </c>
      <c r="B638" s="17" t="s">
        <v>3187</v>
      </c>
      <c r="C638" s="18" t="s">
        <v>3188</v>
      </c>
      <c r="D638" s="19">
        <v>46017</v>
      </c>
      <c r="E638" s="49"/>
      <c r="F638" s="49"/>
      <c r="G638" s="20"/>
      <c r="H638" s="20"/>
      <c r="I638" s="21">
        <v>77.884399999999999</v>
      </c>
      <c r="J638" s="22">
        <f>ROUND(I638*H638,2)</f>
        <v>0</v>
      </c>
      <c r="K638" s="23" t="e">
        <f>ROUND(G638/J638,4)</f>
        <v>#DIV/0!</v>
      </c>
      <c r="L638" s="24" t="e">
        <f>1-K638</f>
        <v>#DIV/0!</v>
      </c>
      <c r="M638" s="25" t="s">
        <v>3189</v>
      </c>
      <c r="N638" s="25" t="s">
        <v>3190</v>
      </c>
      <c r="O638" s="26" t="s">
        <v>3191</v>
      </c>
      <c r="P638" s="27" t="s">
        <v>746</v>
      </c>
      <c r="Q638" s="27" t="s">
        <v>25</v>
      </c>
      <c r="R638" s="21" t="s">
        <v>26</v>
      </c>
      <c r="S638" s="29">
        <v>555</v>
      </c>
      <c r="T638" s="1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 spans="1:34" x14ac:dyDescent="0.3">
      <c r="A639" s="16">
        <v>635</v>
      </c>
      <c r="B639" s="17" t="s">
        <v>3192</v>
      </c>
      <c r="C639" s="34" t="s">
        <v>3193</v>
      </c>
      <c r="D639" s="19">
        <v>46017</v>
      </c>
      <c r="E639" s="49"/>
      <c r="F639" s="49"/>
      <c r="G639" s="20"/>
      <c r="H639" s="20"/>
      <c r="I639" s="21">
        <v>77.884399999999999</v>
      </c>
      <c r="J639" s="22">
        <f>ROUND(I639*H639,2)</f>
        <v>0</v>
      </c>
      <c r="K639" s="23" t="e">
        <f>ROUND(G639/J639,4)</f>
        <v>#DIV/0!</v>
      </c>
      <c r="L639" s="24" t="e">
        <f>1-K639</f>
        <v>#DIV/0!</v>
      </c>
      <c r="M639" s="25" t="s">
        <v>3194</v>
      </c>
      <c r="N639" s="25" t="s">
        <v>3195</v>
      </c>
      <c r="O639" s="26" t="s">
        <v>3196</v>
      </c>
      <c r="P639" s="27" t="s">
        <v>918</v>
      </c>
      <c r="Q639" s="27" t="s">
        <v>25</v>
      </c>
      <c r="R639" s="21" t="s">
        <v>39</v>
      </c>
      <c r="S639" s="29">
        <v>556</v>
      </c>
      <c r="T639" s="1"/>
    </row>
    <row r="640" spans="1:34" x14ac:dyDescent="0.3">
      <c r="A640" s="31">
        <v>636</v>
      </c>
      <c r="B640" s="32" t="s">
        <v>3197</v>
      </c>
      <c r="C640" s="33" t="s">
        <v>3198</v>
      </c>
      <c r="D640" s="19">
        <v>46017</v>
      </c>
      <c r="E640" s="49"/>
      <c r="F640" s="49"/>
      <c r="G640" s="20"/>
      <c r="H640" s="20"/>
      <c r="I640" s="21">
        <v>77.884399999999999</v>
      </c>
      <c r="J640" s="22">
        <f>ROUND(I640*H640,2)</f>
        <v>0</v>
      </c>
      <c r="K640" s="23" t="e">
        <f>ROUND(G640/J640,4)</f>
        <v>#DIV/0!</v>
      </c>
      <c r="L640" s="24" t="e">
        <f>1-K640</f>
        <v>#DIV/0!</v>
      </c>
      <c r="M640" s="25" t="s">
        <v>3199</v>
      </c>
      <c r="N640" s="25" t="s">
        <v>3200</v>
      </c>
      <c r="O640" s="26" t="s">
        <v>3201</v>
      </c>
      <c r="P640" s="27" t="s">
        <v>809</v>
      </c>
      <c r="Q640" s="27" t="s">
        <v>25</v>
      </c>
      <c r="R640" s="21" t="s">
        <v>26</v>
      </c>
      <c r="S640" s="29">
        <v>557</v>
      </c>
      <c r="T640" s="1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 spans="1:34" x14ac:dyDescent="0.3">
      <c r="A641" s="16">
        <v>637</v>
      </c>
      <c r="B641" s="17" t="s">
        <v>3202</v>
      </c>
      <c r="C641" s="18" t="s">
        <v>3203</v>
      </c>
      <c r="D641" s="19">
        <v>46017</v>
      </c>
      <c r="E641" s="49"/>
      <c r="F641" s="49"/>
      <c r="G641" s="20"/>
      <c r="H641" s="20"/>
      <c r="I641" s="21">
        <v>77.884399999999999</v>
      </c>
      <c r="J641" s="22">
        <f>ROUND(I641*H641,2)</f>
        <v>0</v>
      </c>
      <c r="K641" s="23" t="e">
        <f>ROUND(G641/J641,4)</f>
        <v>#DIV/0!</v>
      </c>
      <c r="L641" s="24" t="e">
        <f>1-K641</f>
        <v>#DIV/0!</v>
      </c>
      <c r="M641" s="25" t="s">
        <v>3204</v>
      </c>
      <c r="N641" s="25" t="s">
        <v>3205</v>
      </c>
      <c r="O641" s="26" t="s">
        <v>3206</v>
      </c>
      <c r="P641" s="27" t="s">
        <v>123</v>
      </c>
      <c r="Q641" s="27" t="s">
        <v>25</v>
      </c>
      <c r="R641" s="21" t="s">
        <v>39</v>
      </c>
      <c r="S641" s="29">
        <v>558</v>
      </c>
      <c r="T641" s="1"/>
    </row>
    <row r="642" spans="1:34" x14ac:dyDescent="0.3">
      <c r="A642" s="16">
        <v>638</v>
      </c>
      <c r="B642" s="17" t="s">
        <v>3207</v>
      </c>
      <c r="C642" s="34" t="s">
        <v>3208</v>
      </c>
      <c r="D642" s="19">
        <v>46017</v>
      </c>
      <c r="E642" s="49"/>
      <c r="F642" s="49"/>
      <c r="G642" s="20"/>
      <c r="H642" s="20"/>
      <c r="I642" s="21">
        <v>77.884399999999999</v>
      </c>
      <c r="J642" s="22">
        <f>ROUND(I642*H642,2)</f>
        <v>0</v>
      </c>
      <c r="K642" s="23" t="e">
        <f>ROUND(G642/J642,4)</f>
        <v>#DIV/0!</v>
      </c>
      <c r="L642" s="24" t="e">
        <f>1-K642</f>
        <v>#DIV/0!</v>
      </c>
      <c r="M642" s="25" t="s">
        <v>3209</v>
      </c>
      <c r="N642" s="25" t="s">
        <v>3210</v>
      </c>
      <c r="O642" s="26" t="s">
        <v>3211</v>
      </c>
      <c r="P642" s="27" t="s">
        <v>174</v>
      </c>
      <c r="Q642" s="27" t="s">
        <v>25</v>
      </c>
      <c r="R642" s="21" t="s">
        <v>39</v>
      </c>
      <c r="S642" s="29">
        <v>559</v>
      </c>
      <c r="T642" s="1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 spans="1:34" x14ac:dyDescent="0.3">
      <c r="A643" s="16">
        <v>639</v>
      </c>
      <c r="B643" s="17" t="s">
        <v>3212</v>
      </c>
      <c r="C643" s="18" t="s">
        <v>3213</v>
      </c>
      <c r="D643" s="19">
        <v>46017</v>
      </c>
      <c r="E643" s="49"/>
      <c r="F643" s="49"/>
      <c r="G643" s="20"/>
      <c r="H643" s="20"/>
      <c r="I643" s="21">
        <v>77.884399999999999</v>
      </c>
      <c r="J643" s="22">
        <f>ROUND(I643*H643,2)</f>
        <v>0</v>
      </c>
      <c r="K643" s="23" t="e">
        <f>ROUND(G643/J643,4)</f>
        <v>#DIV/0!</v>
      </c>
      <c r="L643" s="24" t="e">
        <f>1-K643</f>
        <v>#DIV/0!</v>
      </c>
      <c r="M643" s="25" t="s">
        <v>3214</v>
      </c>
      <c r="N643" s="25" t="s">
        <v>3215</v>
      </c>
      <c r="O643" s="26" t="s">
        <v>3216</v>
      </c>
      <c r="P643" s="27" t="s">
        <v>68</v>
      </c>
      <c r="Q643" s="27" t="s">
        <v>25</v>
      </c>
      <c r="R643" s="64" t="s">
        <v>39</v>
      </c>
      <c r="S643" s="29">
        <v>560</v>
      </c>
      <c r="T643" s="1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 spans="1:34" x14ac:dyDescent="0.3">
      <c r="A644" s="16">
        <v>640</v>
      </c>
      <c r="B644" s="17" t="s">
        <v>3217</v>
      </c>
      <c r="C644" s="18" t="s">
        <v>3218</v>
      </c>
      <c r="D644" s="19">
        <v>46017</v>
      </c>
      <c r="E644" s="49"/>
      <c r="F644" s="49"/>
      <c r="G644" s="20"/>
      <c r="H644" s="20"/>
      <c r="I644" s="21">
        <v>77.884399999999999</v>
      </c>
      <c r="J644" s="22">
        <f>ROUND(I644*H644,2)</f>
        <v>0</v>
      </c>
      <c r="K644" s="23" t="e">
        <f>ROUND(G644/J644,4)</f>
        <v>#DIV/0!</v>
      </c>
      <c r="L644" s="24" t="e">
        <f>1-K644</f>
        <v>#DIV/0!</v>
      </c>
      <c r="M644" s="25" t="s">
        <v>3219</v>
      </c>
      <c r="N644" s="25" t="s">
        <v>3220</v>
      </c>
      <c r="O644" s="26" t="s">
        <v>3221</v>
      </c>
      <c r="P644" s="27" t="s">
        <v>32</v>
      </c>
      <c r="Q644" s="27" t="s">
        <v>25</v>
      </c>
      <c r="R644" s="21" t="s">
        <v>39</v>
      </c>
      <c r="S644" s="29">
        <v>561</v>
      </c>
      <c r="T644" s="1"/>
    </row>
    <row r="645" spans="1:34" x14ac:dyDescent="0.3">
      <c r="A645" s="31">
        <v>641</v>
      </c>
      <c r="B645" s="32" t="s">
        <v>3222</v>
      </c>
      <c r="C645" s="33" t="s">
        <v>3223</v>
      </c>
      <c r="D645" s="19">
        <v>46017</v>
      </c>
      <c r="E645" s="49"/>
      <c r="F645" s="49"/>
      <c r="G645" s="20"/>
      <c r="H645" s="20"/>
      <c r="I645" s="21">
        <v>77.884399999999999</v>
      </c>
      <c r="J645" s="22">
        <f>ROUND(I645*H645,2)</f>
        <v>0</v>
      </c>
      <c r="K645" s="23" t="e">
        <f>ROUND(G645/J645,4)</f>
        <v>#DIV/0!</v>
      </c>
      <c r="L645" s="24" t="e">
        <f>1-K645</f>
        <v>#DIV/0!</v>
      </c>
      <c r="M645" s="25" t="s">
        <v>3224</v>
      </c>
      <c r="N645" s="25" t="s">
        <v>3225</v>
      </c>
      <c r="O645" s="26" t="s">
        <v>3226</v>
      </c>
      <c r="P645" s="27" t="s">
        <v>820</v>
      </c>
      <c r="Q645" s="27" t="s">
        <v>25</v>
      </c>
      <c r="R645" s="21" t="s">
        <v>39</v>
      </c>
      <c r="S645" s="29">
        <v>562</v>
      </c>
      <c r="T645" s="1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 spans="1:34" x14ac:dyDescent="0.3">
      <c r="A646" s="16">
        <v>642</v>
      </c>
      <c r="B646" s="17" t="s">
        <v>3227</v>
      </c>
      <c r="C646" s="18" t="s">
        <v>3228</v>
      </c>
      <c r="D646" s="19">
        <v>46017</v>
      </c>
      <c r="E646" s="49"/>
      <c r="F646" s="49"/>
      <c r="G646" s="20"/>
      <c r="H646" s="20"/>
      <c r="I646" s="21">
        <v>77.884399999999999</v>
      </c>
      <c r="J646" s="22">
        <f>ROUND(I646*H646,2)</f>
        <v>0</v>
      </c>
      <c r="K646" s="23" t="e">
        <f>ROUND(G646/J646,4)</f>
        <v>#DIV/0!</v>
      </c>
      <c r="L646" s="24" t="e">
        <f>1-K646</f>
        <v>#DIV/0!</v>
      </c>
      <c r="M646" s="25" t="s">
        <v>3229</v>
      </c>
      <c r="N646" s="25" t="s">
        <v>3230</v>
      </c>
      <c r="O646" s="26" t="s">
        <v>3231</v>
      </c>
      <c r="P646" s="27" t="s">
        <v>1148</v>
      </c>
      <c r="Q646" s="27" t="s">
        <v>25</v>
      </c>
      <c r="R646" s="64" t="s">
        <v>39</v>
      </c>
      <c r="S646" s="29">
        <v>563</v>
      </c>
      <c r="T646" s="1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 spans="1:34" x14ac:dyDescent="0.3">
      <c r="A647" s="16">
        <v>643</v>
      </c>
      <c r="B647" s="17" t="s">
        <v>3232</v>
      </c>
      <c r="C647" s="18" t="s">
        <v>3233</v>
      </c>
      <c r="D647" s="19">
        <v>46017</v>
      </c>
      <c r="E647" s="49"/>
      <c r="F647" s="49"/>
      <c r="G647" s="20"/>
      <c r="H647" s="20"/>
      <c r="I647" s="21">
        <v>77.884399999999999</v>
      </c>
      <c r="J647" s="22">
        <f>ROUND(I647*H647,2)</f>
        <v>0</v>
      </c>
      <c r="K647" s="23" t="e">
        <f>ROUND(G647/J647,4)</f>
        <v>#DIV/0!</v>
      </c>
      <c r="L647" s="24" t="e">
        <f>1-K647</f>
        <v>#DIV/0!</v>
      </c>
      <c r="M647" s="25" t="s">
        <v>3234</v>
      </c>
      <c r="N647" s="25" t="s">
        <v>3235</v>
      </c>
      <c r="O647" s="26" t="s">
        <v>3236</v>
      </c>
      <c r="P647" s="27" t="s">
        <v>74</v>
      </c>
      <c r="Q647" s="27" t="s">
        <v>25</v>
      </c>
      <c r="R647" s="21" t="s">
        <v>26</v>
      </c>
      <c r="S647" s="29">
        <v>564</v>
      </c>
      <c r="T647" s="1"/>
    </row>
    <row r="648" spans="1:34" x14ac:dyDescent="0.3">
      <c r="A648" s="16">
        <v>644</v>
      </c>
      <c r="B648" s="17" t="s">
        <v>3237</v>
      </c>
      <c r="C648" s="18" t="s">
        <v>3238</v>
      </c>
      <c r="D648" s="19">
        <v>46017</v>
      </c>
      <c r="E648" s="49"/>
      <c r="F648" s="49"/>
      <c r="G648" s="20"/>
      <c r="H648" s="20"/>
      <c r="I648" s="21">
        <v>77.884399999999999</v>
      </c>
      <c r="J648" s="22">
        <f>ROUND(I648*H648,2)</f>
        <v>0</v>
      </c>
      <c r="K648" s="23" t="e">
        <f>ROUND(G648/J648,4)</f>
        <v>#DIV/0!</v>
      </c>
      <c r="L648" s="24" t="e">
        <f>1-K648</f>
        <v>#DIV/0!</v>
      </c>
      <c r="M648" s="25" t="s">
        <v>3239</v>
      </c>
      <c r="N648" s="25" t="s">
        <v>3240</v>
      </c>
      <c r="O648" s="26" t="s">
        <v>3241</v>
      </c>
      <c r="P648" s="27" t="s">
        <v>45</v>
      </c>
      <c r="Q648" s="27" t="s">
        <v>25</v>
      </c>
      <c r="R648" s="21" t="s">
        <v>39</v>
      </c>
      <c r="S648" s="29">
        <v>565</v>
      </c>
      <c r="T648" s="1"/>
    </row>
    <row r="649" spans="1:34" x14ac:dyDescent="0.3">
      <c r="A649" s="31">
        <v>645</v>
      </c>
      <c r="B649" s="26" t="s">
        <v>3242</v>
      </c>
      <c r="C649" s="27" t="s">
        <v>3243</v>
      </c>
      <c r="D649" s="19">
        <v>46017</v>
      </c>
      <c r="E649" s="49"/>
      <c r="F649" s="49"/>
      <c r="G649" s="20"/>
      <c r="H649" s="20"/>
      <c r="I649" s="21">
        <v>77.884399999999999</v>
      </c>
      <c r="J649" s="22">
        <f>ROUND(I649*H649,2)</f>
        <v>0</v>
      </c>
      <c r="K649" s="23" t="e">
        <f>ROUND(G649/J649,4)</f>
        <v>#DIV/0!</v>
      </c>
      <c r="L649" s="24" t="e">
        <f>1-K649</f>
        <v>#DIV/0!</v>
      </c>
      <c r="M649" s="25"/>
      <c r="N649" s="25"/>
      <c r="O649" s="26" t="s">
        <v>3244</v>
      </c>
      <c r="P649" s="27" t="s">
        <v>2853</v>
      </c>
      <c r="Q649" s="27" t="s">
        <v>3245</v>
      </c>
      <c r="R649" s="21" t="s">
        <v>39</v>
      </c>
      <c r="S649" s="29"/>
      <c r="T649" s="1"/>
    </row>
    <row r="650" spans="1:34" x14ac:dyDescent="0.3">
      <c r="A650" s="31">
        <v>646</v>
      </c>
      <c r="B650" s="26" t="s">
        <v>3246</v>
      </c>
      <c r="C650" s="27" t="s">
        <v>3247</v>
      </c>
      <c r="D650" s="19">
        <v>46017</v>
      </c>
      <c r="E650" s="49"/>
      <c r="F650" s="49"/>
      <c r="G650" s="20"/>
      <c r="H650" s="20"/>
      <c r="I650" s="21">
        <v>77.884399999999999</v>
      </c>
      <c r="J650" s="22">
        <f>ROUND(I650*H650,2)</f>
        <v>0</v>
      </c>
      <c r="K650" s="23" t="e">
        <f>ROUND(G650/J650,4)</f>
        <v>#DIV/0!</v>
      </c>
      <c r="L650" s="24" t="e">
        <f>1-K650</f>
        <v>#DIV/0!</v>
      </c>
      <c r="M650" s="25"/>
      <c r="N650" s="25"/>
      <c r="O650" s="26" t="s">
        <v>3248</v>
      </c>
      <c r="P650" s="27" t="s">
        <v>3249</v>
      </c>
      <c r="Q650" s="27" t="s">
        <v>25</v>
      </c>
      <c r="R650" s="21" t="s">
        <v>26</v>
      </c>
      <c r="S650" s="29"/>
      <c r="T650" s="1"/>
    </row>
    <row r="651" spans="1:34" x14ac:dyDescent="0.3">
      <c r="A651" s="16">
        <v>647</v>
      </c>
      <c r="B651" s="17" t="s">
        <v>3250</v>
      </c>
      <c r="C651" s="18" t="s">
        <v>3251</v>
      </c>
      <c r="D651" s="19">
        <v>46017</v>
      </c>
      <c r="E651" s="49"/>
      <c r="F651" s="49"/>
      <c r="G651" s="20"/>
      <c r="H651" s="20"/>
      <c r="I651" s="21">
        <v>77.884399999999999</v>
      </c>
      <c r="J651" s="22">
        <f>ROUND(I651*H651,2)</f>
        <v>0</v>
      </c>
      <c r="K651" s="23" t="e">
        <f>ROUND(G651/J651,4)</f>
        <v>#DIV/0!</v>
      </c>
      <c r="L651" s="24" t="e">
        <f>1-K651</f>
        <v>#DIV/0!</v>
      </c>
      <c r="M651" s="25" t="s">
        <v>3252</v>
      </c>
      <c r="N651" s="25" t="s">
        <v>3253</v>
      </c>
      <c r="O651" s="26" t="s">
        <v>3254</v>
      </c>
      <c r="P651" s="27" t="s">
        <v>68</v>
      </c>
      <c r="Q651" s="27" t="s">
        <v>25</v>
      </c>
      <c r="R651" s="21" t="s">
        <v>26</v>
      </c>
      <c r="S651" s="29">
        <v>566</v>
      </c>
      <c r="T651" s="1"/>
    </row>
    <row r="652" spans="1:34" x14ac:dyDescent="0.3">
      <c r="A652" s="16">
        <v>648</v>
      </c>
      <c r="B652" s="17" t="s">
        <v>3255</v>
      </c>
      <c r="C652" s="34" t="s">
        <v>3256</v>
      </c>
      <c r="D652" s="19">
        <v>46017</v>
      </c>
      <c r="E652" s="49"/>
      <c r="F652" s="49"/>
      <c r="G652" s="20"/>
      <c r="H652" s="20"/>
      <c r="I652" s="21">
        <v>77.884399999999999</v>
      </c>
      <c r="J652" s="22">
        <f>ROUND(I652*H652,2)</f>
        <v>0</v>
      </c>
      <c r="K652" s="23" t="e">
        <f>ROUND(G652/J652,4)</f>
        <v>#DIV/0!</v>
      </c>
      <c r="L652" s="24" t="e">
        <f>1-K652</f>
        <v>#DIV/0!</v>
      </c>
      <c r="M652" s="25" t="s">
        <v>3257</v>
      </c>
      <c r="N652" s="25" t="s">
        <v>3258</v>
      </c>
      <c r="O652" s="26" t="s">
        <v>3259</v>
      </c>
      <c r="P652" s="27" t="s">
        <v>1687</v>
      </c>
      <c r="Q652" s="27" t="s">
        <v>25</v>
      </c>
      <c r="R652" s="21" t="s">
        <v>39</v>
      </c>
      <c r="S652" s="29">
        <v>567</v>
      </c>
      <c r="T652" s="1"/>
    </row>
    <row r="653" spans="1:34" x14ac:dyDescent="0.3">
      <c r="A653" s="31">
        <v>649</v>
      </c>
      <c r="B653" s="26" t="s">
        <v>3260</v>
      </c>
      <c r="C653" s="27" t="s">
        <v>3261</v>
      </c>
      <c r="D653" s="19">
        <v>46017</v>
      </c>
      <c r="E653" s="49"/>
      <c r="F653" s="49"/>
      <c r="G653" s="20"/>
      <c r="H653" s="20"/>
      <c r="I653" s="21">
        <v>77.884399999999999</v>
      </c>
      <c r="J653" s="22">
        <f>ROUND(I653*H653,2)</f>
        <v>0</v>
      </c>
      <c r="K653" s="23" t="e">
        <f>ROUND(G653/J653,4)</f>
        <v>#DIV/0!</v>
      </c>
      <c r="L653" s="24" t="e">
        <f>1-K653</f>
        <v>#DIV/0!</v>
      </c>
      <c r="M653" s="25"/>
      <c r="N653" s="25"/>
      <c r="O653" s="26" t="s">
        <v>3262</v>
      </c>
      <c r="P653" s="27" t="s">
        <v>3263</v>
      </c>
      <c r="Q653" s="27" t="s">
        <v>3264</v>
      </c>
      <c r="R653" s="21" t="s">
        <v>39</v>
      </c>
      <c r="S653" s="29"/>
      <c r="T653" s="1"/>
    </row>
    <row r="654" spans="1:34" x14ac:dyDescent="0.3">
      <c r="A654" s="16">
        <v>650</v>
      </c>
      <c r="B654" s="17" t="s">
        <v>3265</v>
      </c>
      <c r="C654" s="34" t="s">
        <v>3266</v>
      </c>
      <c r="D654" s="19">
        <v>46017</v>
      </c>
      <c r="E654" s="49"/>
      <c r="F654" s="49"/>
      <c r="G654" s="20"/>
      <c r="H654" s="20"/>
      <c r="I654" s="21">
        <v>77.884399999999999</v>
      </c>
      <c r="J654" s="22">
        <f>ROUND(I654*H654,2)</f>
        <v>0</v>
      </c>
      <c r="K654" s="23" t="e">
        <f>ROUND(G654/J654,4)</f>
        <v>#DIV/0!</v>
      </c>
      <c r="L654" s="24" t="e">
        <f>1-K654</f>
        <v>#DIV/0!</v>
      </c>
      <c r="M654" s="25" t="s">
        <v>3267</v>
      </c>
      <c r="N654" s="25" t="s">
        <v>3268</v>
      </c>
      <c r="O654" s="26" t="s">
        <v>3269</v>
      </c>
      <c r="P654" s="27" t="s">
        <v>123</v>
      </c>
      <c r="Q654" s="27" t="s">
        <v>25</v>
      </c>
      <c r="R654" s="21" t="s">
        <v>26</v>
      </c>
      <c r="S654" s="29">
        <v>568</v>
      </c>
      <c r="T654" s="1"/>
    </row>
    <row r="655" spans="1:34" x14ac:dyDescent="0.3">
      <c r="A655" s="16">
        <v>651</v>
      </c>
      <c r="B655" s="17" t="s">
        <v>3270</v>
      </c>
      <c r="C655" s="18" t="s">
        <v>3271</v>
      </c>
      <c r="D655" s="19">
        <v>46017</v>
      </c>
      <c r="E655" s="49"/>
      <c r="F655" s="49"/>
      <c r="G655" s="20"/>
      <c r="H655" s="20"/>
      <c r="I655" s="21">
        <v>77.884399999999999</v>
      </c>
      <c r="J655" s="22">
        <f>ROUND(I655*H655,2)</f>
        <v>0</v>
      </c>
      <c r="K655" s="23" t="e">
        <f>ROUND(G655/J655,4)</f>
        <v>#DIV/0!</v>
      </c>
      <c r="L655" s="24" t="e">
        <f>1-K655</f>
        <v>#DIV/0!</v>
      </c>
      <c r="M655" s="25" t="s">
        <v>3272</v>
      </c>
      <c r="N655" s="25" t="s">
        <v>3273</v>
      </c>
      <c r="O655" s="26" t="s">
        <v>3274</v>
      </c>
      <c r="P655" s="27" t="s">
        <v>1996</v>
      </c>
      <c r="Q655" s="27" t="s">
        <v>25</v>
      </c>
      <c r="R655" s="21" t="s">
        <v>39</v>
      </c>
      <c r="S655" s="29">
        <v>569</v>
      </c>
      <c r="T655" s="1"/>
    </row>
    <row r="656" spans="1:34" x14ac:dyDescent="0.3">
      <c r="A656" s="16">
        <v>652</v>
      </c>
      <c r="B656" s="17" t="s">
        <v>3275</v>
      </c>
      <c r="C656" s="18" t="s">
        <v>3276</v>
      </c>
      <c r="D656" s="19">
        <v>46017</v>
      </c>
      <c r="E656" s="49"/>
      <c r="F656" s="49"/>
      <c r="G656" s="20"/>
      <c r="H656" s="20"/>
      <c r="I656" s="21">
        <v>77.884399999999999</v>
      </c>
      <c r="J656" s="22">
        <f>ROUND(I656*H656,2)</f>
        <v>0</v>
      </c>
      <c r="K656" s="23" t="e">
        <f>ROUND(G656/J656,4)</f>
        <v>#DIV/0!</v>
      </c>
      <c r="L656" s="24" t="e">
        <f>1-K656</f>
        <v>#DIV/0!</v>
      </c>
      <c r="M656" s="25" t="s">
        <v>3277</v>
      </c>
      <c r="N656" s="25" t="s">
        <v>3278</v>
      </c>
      <c r="O656" s="26" t="s">
        <v>3279</v>
      </c>
      <c r="P656" s="27" t="s">
        <v>1100</v>
      </c>
      <c r="Q656" s="27" t="s">
        <v>25</v>
      </c>
      <c r="R656" s="21" t="s">
        <v>26</v>
      </c>
      <c r="S656" s="29">
        <v>570</v>
      </c>
      <c r="T656" s="1"/>
    </row>
    <row r="657" spans="1:34" x14ac:dyDescent="0.3">
      <c r="A657" s="16">
        <v>653</v>
      </c>
      <c r="B657" s="17" t="s">
        <v>3280</v>
      </c>
      <c r="C657" s="18" t="s">
        <v>3281</v>
      </c>
      <c r="D657" s="19">
        <v>46017</v>
      </c>
      <c r="E657" s="49"/>
      <c r="F657" s="49"/>
      <c r="G657" s="20"/>
      <c r="H657" s="20"/>
      <c r="I657" s="21">
        <v>77.884399999999999</v>
      </c>
      <c r="J657" s="22">
        <f>ROUND(I657*H657,2)</f>
        <v>0</v>
      </c>
      <c r="K657" s="23" t="e">
        <f>ROUND(G657/J657,4)</f>
        <v>#DIV/0!</v>
      </c>
      <c r="L657" s="24" t="e">
        <f>1-K657</f>
        <v>#DIV/0!</v>
      </c>
      <c r="M657" s="25" t="s">
        <v>3282</v>
      </c>
      <c r="N657" s="25" t="s">
        <v>3283</v>
      </c>
      <c r="O657" s="26" t="s">
        <v>3284</v>
      </c>
      <c r="P657" s="27" t="s">
        <v>502</v>
      </c>
      <c r="Q657" s="27" t="s">
        <v>25</v>
      </c>
      <c r="R657" s="21" t="s">
        <v>39</v>
      </c>
      <c r="S657" s="29">
        <v>571</v>
      </c>
      <c r="T657" s="1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 spans="1:34" x14ac:dyDescent="0.3">
      <c r="A658" s="31">
        <v>654</v>
      </c>
      <c r="B658" s="32" t="s">
        <v>3285</v>
      </c>
      <c r="C658" s="33" t="s">
        <v>3286</v>
      </c>
      <c r="D658" s="19">
        <v>46017</v>
      </c>
      <c r="E658" s="49"/>
      <c r="F658" s="49"/>
      <c r="G658" s="20"/>
      <c r="H658" s="20"/>
      <c r="I658" s="21">
        <v>77.884399999999999</v>
      </c>
      <c r="J658" s="22">
        <f>ROUND(I658*H658,2)</f>
        <v>0</v>
      </c>
      <c r="K658" s="23" t="e">
        <f>ROUND(G658/J658,4)</f>
        <v>#DIV/0!</v>
      </c>
      <c r="L658" s="24" t="e">
        <f>1-K658</f>
        <v>#DIV/0!</v>
      </c>
      <c r="M658" s="25" t="s">
        <v>3287</v>
      </c>
      <c r="N658" s="25" t="s">
        <v>3288</v>
      </c>
      <c r="O658" s="26" t="s">
        <v>3289</v>
      </c>
      <c r="P658" s="27" t="s">
        <v>189</v>
      </c>
      <c r="Q658" s="27" t="s">
        <v>25</v>
      </c>
      <c r="R658" s="64" t="s">
        <v>26</v>
      </c>
      <c r="S658" s="29">
        <v>572</v>
      </c>
      <c r="T658" s="1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 spans="1:34" x14ac:dyDescent="0.3">
      <c r="A659" s="31">
        <v>655</v>
      </c>
      <c r="B659" s="26" t="s">
        <v>3290</v>
      </c>
      <c r="C659" s="27" t="s">
        <v>3291</v>
      </c>
      <c r="D659" s="19">
        <v>46017</v>
      </c>
      <c r="E659" s="49"/>
      <c r="F659" s="49"/>
      <c r="G659" s="20"/>
      <c r="H659" s="20"/>
      <c r="I659" s="21">
        <v>77.884399999999999</v>
      </c>
      <c r="J659" s="22">
        <f>ROUND(I659*H659,2)</f>
        <v>0</v>
      </c>
      <c r="K659" s="23" t="e">
        <f>ROUND(G659/J659,4)</f>
        <v>#DIV/0!</v>
      </c>
      <c r="L659" s="24" t="e">
        <f>1-K659</f>
        <v>#DIV/0!</v>
      </c>
      <c r="M659" s="25"/>
      <c r="N659" s="25"/>
      <c r="O659" s="26" t="s">
        <v>3292</v>
      </c>
      <c r="P659" s="27" t="s">
        <v>146</v>
      </c>
      <c r="Q659" s="27" t="s">
        <v>25</v>
      </c>
      <c r="R659" s="21" t="s">
        <v>39</v>
      </c>
      <c r="S659" s="29"/>
      <c r="T659" s="1"/>
    </row>
    <row r="660" spans="1:34" x14ac:dyDescent="0.3">
      <c r="A660" s="16">
        <v>656</v>
      </c>
      <c r="B660" s="17" t="s">
        <v>3293</v>
      </c>
      <c r="C660" s="18" t="s">
        <v>3294</v>
      </c>
      <c r="D660" s="19">
        <v>46017</v>
      </c>
      <c r="E660" s="49"/>
      <c r="F660" s="49"/>
      <c r="G660" s="20"/>
      <c r="H660" s="20"/>
      <c r="I660" s="21">
        <v>77.884399999999999</v>
      </c>
      <c r="J660" s="22">
        <f>ROUND(I660*H660,2)</f>
        <v>0</v>
      </c>
      <c r="K660" s="23" t="e">
        <f>ROUND(G660/J660,4)</f>
        <v>#DIV/0!</v>
      </c>
      <c r="L660" s="24" t="e">
        <f>1-K660</f>
        <v>#DIV/0!</v>
      </c>
      <c r="M660" s="25" t="s">
        <v>3295</v>
      </c>
      <c r="N660" s="25" t="s">
        <v>3296</v>
      </c>
      <c r="O660" s="26" t="s">
        <v>3297</v>
      </c>
      <c r="P660" s="27" t="s">
        <v>32</v>
      </c>
      <c r="Q660" s="27" t="s">
        <v>25</v>
      </c>
      <c r="R660" s="21" t="s">
        <v>26</v>
      </c>
      <c r="S660" s="29">
        <v>573</v>
      </c>
      <c r="T660" s="1"/>
    </row>
    <row r="661" spans="1:34" x14ac:dyDescent="0.3">
      <c r="A661" s="31">
        <v>657</v>
      </c>
      <c r="B661" s="32" t="s">
        <v>3298</v>
      </c>
      <c r="C661" s="33" t="s">
        <v>3299</v>
      </c>
      <c r="D661" s="19">
        <v>46017</v>
      </c>
      <c r="E661" s="49"/>
      <c r="F661" s="49"/>
      <c r="G661" s="20"/>
      <c r="H661" s="20"/>
      <c r="I661" s="21">
        <v>77.884399999999999</v>
      </c>
      <c r="J661" s="22">
        <f>ROUND(I661*H661,2)</f>
        <v>0</v>
      </c>
      <c r="K661" s="23" t="e">
        <f>ROUND(G661/J661,4)</f>
        <v>#DIV/0!</v>
      </c>
      <c r="L661" s="24" t="e">
        <f>1-K661</f>
        <v>#DIV/0!</v>
      </c>
      <c r="M661" s="25" t="s">
        <v>3300</v>
      </c>
      <c r="N661" s="25" t="s">
        <v>3301</v>
      </c>
      <c r="O661" s="26" t="s">
        <v>3302</v>
      </c>
      <c r="P661" s="27" t="s">
        <v>3303</v>
      </c>
      <c r="Q661" s="27" t="s">
        <v>25</v>
      </c>
      <c r="R661" s="21" t="s">
        <v>26</v>
      </c>
      <c r="S661" s="29">
        <v>574</v>
      </c>
      <c r="T661" s="1"/>
    </row>
    <row r="662" spans="1:34" x14ac:dyDescent="0.3">
      <c r="A662" s="16">
        <v>658</v>
      </c>
      <c r="B662" s="17" t="s">
        <v>3304</v>
      </c>
      <c r="C662" s="18" t="s">
        <v>3305</v>
      </c>
      <c r="D662" s="19">
        <v>46017</v>
      </c>
      <c r="E662" s="49"/>
      <c r="F662" s="49"/>
      <c r="G662" s="20"/>
      <c r="H662" s="20"/>
      <c r="I662" s="21">
        <v>77.884399999999999</v>
      </c>
      <c r="J662" s="22">
        <f>ROUND(I662*H662,2)</f>
        <v>0</v>
      </c>
      <c r="K662" s="23" t="e">
        <f>ROUND(G662/J662,4)</f>
        <v>#DIV/0!</v>
      </c>
      <c r="L662" s="24" t="e">
        <f>1-K662</f>
        <v>#DIV/0!</v>
      </c>
      <c r="M662" s="25" t="s">
        <v>3306</v>
      </c>
      <c r="N662" s="25" t="s">
        <v>3307</v>
      </c>
      <c r="O662" s="26" t="s">
        <v>3308</v>
      </c>
      <c r="P662" s="27" t="s">
        <v>918</v>
      </c>
      <c r="Q662" s="27" t="s">
        <v>25</v>
      </c>
      <c r="R662" s="21" t="s">
        <v>26</v>
      </c>
      <c r="S662" s="29">
        <v>575</v>
      </c>
      <c r="T662" s="1"/>
    </row>
    <row r="663" spans="1:34" x14ac:dyDescent="0.3">
      <c r="A663" s="16">
        <v>659</v>
      </c>
      <c r="B663" s="17" t="s">
        <v>3309</v>
      </c>
      <c r="C663" s="18" t="s">
        <v>3310</v>
      </c>
      <c r="D663" s="19">
        <v>46017</v>
      </c>
      <c r="E663" s="49"/>
      <c r="F663" s="49"/>
      <c r="G663" s="20"/>
      <c r="H663" s="20"/>
      <c r="I663" s="21">
        <v>77.884399999999999</v>
      </c>
      <c r="J663" s="22">
        <f>ROUND(I663*H663,2)</f>
        <v>0</v>
      </c>
      <c r="K663" s="23" t="e">
        <f>ROUND(G663/J663,4)</f>
        <v>#DIV/0!</v>
      </c>
      <c r="L663" s="24" t="e">
        <f>1-K663</f>
        <v>#DIV/0!</v>
      </c>
      <c r="M663" s="25" t="s">
        <v>3311</v>
      </c>
      <c r="N663" s="25" t="s">
        <v>3312</v>
      </c>
      <c r="O663" s="26" t="s">
        <v>3313</v>
      </c>
      <c r="P663" s="27" t="s">
        <v>32</v>
      </c>
      <c r="Q663" s="27" t="s">
        <v>25</v>
      </c>
      <c r="R663" s="21" t="s">
        <v>26</v>
      </c>
      <c r="S663" s="29">
        <v>576</v>
      </c>
      <c r="T663" s="1"/>
    </row>
    <row r="664" spans="1:34" x14ac:dyDescent="0.3">
      <c r="A664" s="31">
        <v>660</v>
      </c>
      <c r="B664" s="32" t="s">
        <v>3314</v>
      </c>
      <c r="C664" s="33" t="s">
        <v>3315</v>
      </c>
      <c r="D664" s="19">
        <v>46017</v>
      </c>
      <c r="E664" s="49"/>
      <c r="F664" s="49"/>
      <c r="G664" s="20"/>
      <c r="H664" s="20"/>
      <c r="I664" s="21">
        <v>77.884399999999999</v>
      </c>
      <c r="J664" s="22">
        <f>ROUND(I664*H664,2)</f>
        <v>0</v>
      </c>
      <c r="K664" s="23" t="e">
        <f>ROUND(G664/J664,4)</f>
        <v>#DIV/0!</v>
      </c>
      <c r="L664" s="24" t="e">
        <f>1-K664</f>
        <v>#DIV/0!</v>
      </c>
      <c r="M664" s="25" t="s">
        <v>3316</v>
      </c>
      <c r="N664" s="25" t="s">
        <v>3317</v>
      </c>
      <c r="O664" s="26" t="s">
        <v>3318</v>
      </c>
      <c r="P664" s="27" t="s">
        <v>892</v>
      </c>
      <c r="Q664" s="27" t="s">
        <v>25</v>
      </c>
      <c r="R664" s="21" t="s">
        <v>39</v>
      </c>
      <c r="S664" s="29">
        <v>577</v>
      </c>
      <c r="T664" s="1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 spans="1:34" x14ac:dyDescent="0.3">
      <c r="A665" s="16">
        <v>661</v>
      </c>
      <c r="B665" s="17" t="s">
        <v>3319</v>
      </c>
      <c r="C665" s="18" t="s">
        <v>3320</v>
      </c>
      <c r="D665" s="19">
        <v>46017</v>
      </c>
      <c r="E665" s="49"/>
      <c r="F665" s="49"/>
      <c r="G665" s="20"/>
      <c r="H665" s="20"/>
      <c r="I665" s="21">
        <v>77.884399999999999</v>
      </c>
      <c r="J665" s="22">
        <f>ROUND(I665*H665,2)</f>
        <v>0</v>
      </c>
      <c r="K665" s="23" t="e">
        <f>ROUND(G665/J665,4)</f>
        <v>#DIV/0!</v>
      </c>
      <c r="L665" s="24" t="e">
        <f>1-K665</f>
        <v>#DIV/0!</v>
      </c>
      <c r="M665" s="25" t="s">
        <v>3321</v>
      </c>
      <c r="N665" s="25" t="s">
        <v>3322</v>
      </c>
      <c r="O665" s="26" t="s">
        <v>3323</v>
      </c>
      <c r="P665" s="27" t="s">
        <v>189</v>
      </c>
      <c r="Q665" s="27" t="s">
        <v>25</v>
      </c>
      <c r="R665" s="64" t="s">
        <v>39</v>
      </c>
      <c r="S665" s="29">
        <v>578</v>
      </c>
      <c r="T665" s="1"/>
    </row>
    <row r="666" spans="1:34" x14ac:dyDescent="0.3">
      <c r="A666" s="31">
        <v>662</v>
      </c>
      <c r="B666" s="32" t="s">
        <v>3324</v>
      </c>
      <c r="C666" s="33" t="s">
        <v>3325</v>
      </c>
      <c r="D666" s="19">
        <v>46017</v>
      </c>
      <c r="E666" s="49"/>
      <c r="F666" s="49"/>
      <c r="G666" s="20"/>
      <c r="H666" s="20"/>
      <c r="I666" s="21">
        <v>77.884399999999999</v>
      </c>
      <c r="J666" s="22">
        <f>ROUND(I666*H666,2)</f>
        <v>0</v>
      </c>
      <c r="K666" s="23" t="e">
        <f>ROUND(G666/J666,4)</f>
        <v>#DIV/0!</v>
      </c>
      <c r="L666" s="24" t="e">
        <f>1-K666</f>
        <v>#DIV/0!</v>
      </c>
      <c r="M666" s="25" t="s">
        <v>3326</v>
      </c>
      <c r="N666" s="25" t="s">
        <v>3327</v>
      </c>
      <c r="O666" s="26" t="s">
        <v>3328</v>
      </c>
      <c r="P666" s="27" t="s">
        <v>3329</v>
      </c>
      <c r="Q666" s="27" t="s">
        <v>25</v>
      </c>
      <c r="R666" s="21" t="s">
        <v>39</v>
      </c>
      <c r="S666" s="29">
        <v>579</v>
      </c>
      <c r="T666" s="1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</row>
    <row r="667" spans="1:34" x14ac:dyDescent="0.3">
      <c r="A667" s="16">
        <v>663</v>
      </c>
      <c r="B667" s="17" t="s">
        <v>3330</v>
      </c>
      <c r="C667" s="18" t="s">
        <v>3331</v>
      </c>
      <c r="D667" s="19">
        <v>46017</v>
      </c>
      <c r="E667" s="49"/>
      <c r="F667" s="49"/>
      <c r="G667" s="20"/>
      <c r="H667" s="20"/>
      <c r="I667" s="21">
        <v>77.884399999999999</v>
      </c>
      <c r="J667" s="22">
        <f>ROUND(I667*H667,2)</f>
        <v>0</v>
      </c>
      <c r="K667" s="23" t="e">
        <f>ROUND(G667/J667,4)</f>
        <v>#DIV/0!</v>
      </c>
      <c r="L667" s="24" t="e">
        <f>1-K667</f>
        <v>#DIV/0!</v>
      </c>
      <c r="M667" s="25" t="s">
        <v>3332</v>
      </c>
      <c r="N667" s="25" t="s">
        <v>3333</v>
      </c>
      <c r="O667" s="26" t="s">
        <v>3334</v>
      </c>
      <c r="P667" s="27" t="s">
        <v>32</v>
      </c>
      <c r="Q667" s="27" t="s">
        <v>25</v>
      </c>
      <c r="R667" s="64" t="s">
        <v>26</v>
      </c>
      <c r="S667" s="29">
        <v>580</v>
      </c>
      <c r="T667" s="1"/>
    </row>
    <row r="668" spans="1:34" x14ac:dyDescent="0.3">
      <c r="A668" s="16">
        <v>664</v>
      </c>
      <c r="B668" s="17" t="s">
        <v>3335</v>
      </c>
      <c r="C668" s="18" t="s">
        <v>3336</v>
      </c>
      <c r="D668" s="19">
        <v>46017</v>
      </c>
      <c r="E668" s="49"/>
      <c r="F668" s="49"/>
      <c r="G668" s="20"/>
      <c r="H668" s="20"/>
      <c r="I668" s="21">
        <v>77.884399999999999</v>
      </c>
      <c r="J668" s="22">
        <f>ROUND(I668*H668,2)</f>
        <v>0</v>
      </c>
      <c r="K668" s="23" t="e">
        <f>ROUND(G668/J668,4)</f>
        <v>#DIV/0!</v>
      </c>
      <c r="L668" s="24" t="e">
        <f>1-K668</f>
        <v>#DIV/0!</v>
      </c>
      <c r="M668" s="25" t="s">
        <v>3337</v>
      </c>
      <c r="N668" s="25" t="s">
        <v>3338</v>
      </c>
      <c r="O668" s="26" t="s">
        <v>3339</v>
      </c>
      <c r="P668" s="27" t="s">
        <v>68</v>
      </c>
      <c r="Q668" s="27" t="s">
        <v>25</v>
      </c>
      <c r="R668" s="64" t="s">
        <v>26</v>
      </c>
      <c r="S668" s="29">
        <v>581</v>
      </c>
      <c r="T668" s="1"/>
    </row>
    <row r="669" spans="1:34" x14ac:dyDescent="0.3">
      <c r="A669" s="31">
        <v>665</v>
      </c>
      <c r="B669" s="26" t="s">
        <v>3340</v>
      </c>
      <c r="C669" s="27" t="s">
        <v>3341</v>
      </c>
      <c r="D669" s="19">
        <v>46017</v>
      </c>
      <c r="E669" s="49"/>
      <c r="F669" s="49"/>
      <c r="G669" s="20"/>
      <c r="H669" s="20"/>
      <c r="I669" s="21">
        <v>77.884399999999999</v>
      </c>
      <c r="J669" s="22">
        <f>ROUND(I669*H669,2)</f>
        <v>0</v>
      </c>
      <c r="K669" s="23" t="e">
        <f>ROUND(G669/J669,4)</f>
        <v>#DIV/0!</v>
      </c>
      <c r="L669" s="24" t="e">
        <f>1-K669</f>
        <v>#DIV/0!</v>
      </c>
      <c r="M669" s="25"/>
      <c r="N669" s="25"/>
      <c r="O669" s="26" t="s">
        <v>3342</v>
      </c>
      <c r="P669" s="27" t="s">
        <v>3343</v>
      </c>
      <c r="Q669" s="27" t="s">
        <v>25</v>
      </c>
      <c r="R669" s="21" t="s">
        <v>39</v>
      </c>
      <c r="S669" s="29"/>
      <c r="T669" s="1"/>
    </row>
    <row r="670" spans="1:34" x14ac:dyDescent="0.3">
      <c r="A670" s="16">
        <v>666</v>
      </c>
      <c r="B670" s="17" t="s">
        <v>3344</v>
      </c>
      <c r="C670" s="18" t="s">
        <v>3345</v>
      </c>
      <c r="D670" s="19">
        <v>46017</v>
      </c>
      <c r="E670" s="49"/>
      <c r="F670" s="49"/>
      <c r="G670" s="20"/>
      <c r="H670" s="20"/>
      <c r="I670" s="21">
        <v>77.884399999999999</v>
      </c>
      <c r="J670" s="22">
        <f>ROUND(I670*H670,2)</f>
        <v>0</v>
      </c>
      <c r="K670" s="23" t="e">
        <f>ROUND(G670/J670,4)</f>
        <v>#DIV/0!</v>
      </c>
      <c r="L670" s="24" t="e">
        <f>1-K670</f>
        <v>#DIV/0!</v>
      </c>
      <c r="M670" s="25" t="s">
        <v>3346</v>
      </c>
      <c r="N670" s="25" t="s">
        <v>3347</v>
      </c>
      <c r="O670" s="26" t="s">
        <v>3348</v>
      </c>
      <c r="P670" s="27" t="s">
        <v>1617</v>
      </c>
      <c r="Q670" s="27" t="s">
        <v>25</v>
      </c>
      <c r="R670" s="21" t="s">
        <v>26</v>
      </c>
      <c r="S670" s="29">
        <v>582</v>
      </c>
      <c r="T670" s="1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</row>
    <row r="671" spans="1:34" x14ac:dyDescent="0.3">
      <c r="A671" s="16">
        <v>667</v>
      </c>
      <c r="B671" s="17" t="s">
        <v>3349</v>
      </c>
      <c r="C671" s="18" t="s">
        <v>3350</v>
      </c>
      <c r="D671" s="19">
        <v>46017</v>
      </c>
      <c r="E671" s="49"/>
      <c r="F671" s="49"/>
      <c r="G671" s="20"/>
      <c r="H671" s="20"/>
      <c r="I671" s="21">
        <v>77.884399999999999</v>
      </c>
      <c r="J671" s="22">
        <f>ROUND(I671*H671,2)</f>
        <v>0</v>
      </c>
      <c r="K671" s="23" t="e">
        <f>ROUND(G671/J671,4)</f>
        <v>#DIV/0!</v>
      </c>
      <c r="L671" s="24" t="e">
        <f>1-K671</f>
        <v>#DIV/0!</v>
      </c>
      <c r="M671" s="25" t="s">
        <v>3351</v>
      </c>
      <c r="N671" s="25" t="s">
        <v>3352</v>
      </c>
      <c r="O671" s="26" t="s">
        <v>3353</v>
      </c>
      <c r="P671" s="27" t="s">
        <v>1036</v>
      </c>
      <c r="Q671" s="27" t="s">
        <v>25</v>
      </c>
      <c r="R671" s="21" t="s">
        <v>26</v>
      </c>
      <c r="S671" s="29">
        <v>583</v>
      </c>
      <c r="T671" s="1"/>
    </row>
    <row r="672" spans="1:34" x14ac:dyDescent="0.3">
      <c r="A672" s="31">
        <v>668</v>
      </c>
      <c r="B672" s="32" t="s">
        <v>3354</v>
      </c>
      <c r="C672" s="33" t="s">
        <v>3355</v>
      </c>
      <c r="D672" s="19">
        <v>46017</v>
      </c>
      <c r="E672" s="49"/>
      <c r="F672" s="49"/>
      <c r="G672" s="20"/>
      <c r="H672" s="20"/>
      <c r="I672" s="21">
        <v>77.884399999999999</v>
      </c>
      <c r="J672" s="22">
        <f>ROUND(I672*H672,2)</f>
        <v>0</v>
      </c>
      <c r="K672" s="23" t="e">
        <f>ROUND(G672/J672,4)</f>
        <v>#DIV/0!</v>
      </c>
      <c r="L672" s="24" t="e">
        <f>1-K672</f>
        <v>#DIV/0!</v>
      </c>
      <c r="M672" s="25" t="s">
        <v>3356</v>
      </c>
      <c r="N672" s="25" t="s">
        <v>3357</v>
      </c>
      <c r="O672" s="26" t="s">
        <v>3358</v>
      </c>
      <c r="P672" s="27" t="s">
        <v>3359</v>
      </c>
      <c r="Q672" s="27" t="s">
        <v>25</v>
      </c>
      <c r="R672" s="21" t="s">
        <v>39</v>
      </c>
      <c r="S672" s="29">
        <v>584</v>
      </c>
      <c r="T672" s="1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</row>
    <row r="673" spans="1:34" x14ac:dyDescent="0.3">
      <c r="A673" s="16">
        <v>669</v>
      </c>
      <c r="B673" s="17" t="s">
        <v>3360</v>
      </c>
      <c r="C673" s="18" t="s">
        <v>3361</v>
      </c>
      <c r="D673" s="19">
        <v>46017</v>
      </c>
      <c r="E673" s="49"/>
      <c r="F673" s="49"/>
      <c r="G673" s="20"/>
      <c r="H673" s="20"/>
      <c r="I673" s="21">
        <v>77.884399999999999</v>
      </c>
      <c r="J673" s="22">
        <f>ROUND(I673*H673,2)</f>
        <v>0</v>
      </c>
      <c r="K673" s="23" t="e">
        <f>ROUND(G673/J673,4)</f>
        <v>#DIV/0!</v>
      </c>
      <c r="L673" s="24" t="e">
        <f>1-K673</f>
        <v>#DIV/0!</v>
      </c>
      <c r="M673" s="25" t="s">
        <v>3362</v>
      </c>
      <c r="N673" s="25" t="s">
        <v>3363</v>
      </c>
      <c r="O673" s="26" t="s">
        <v>3364</v>
      </c>
      <c r="P673" s="27" t="s">
        <v>1402</v>
      </c>
      <c r="Q673" s="27" t="s">
        <v>25</v>
      </c>
      <c r="R673" s="64" t="s">
        <v>39</v>
      </c>
      <c r="S673" s="29">
        <v>585</v>
      </c>
      <c r="T673" s="1"/>
    </row>
    <row r="674" spans="1:34" x14ac:dyDescent="0.3">
      <c r="A674" s="16">
        <v>670</v>
      </c>
      <c r="B674" s="17" t="s">
        <v>3365</v>
      </c>
      <c r="C674" s="18" t="s">
        <v>3366</v>
      </c>
      <c r="D674" s="19">
        <v>46017</v>
      </c>
      <c r="E674" s="49"/>
      <c r="F674" s="49"/>
      <c r="G674" s="20"/>
      <c r="H674" s="20"/>
      <c r="I674" s="21">
        <v>77.884399999999999</v>
      </c>
      <c r="J674" s="22">
        <f>ROUND(I674*H674,2)</f>
        <v>0</v>
      </c>
      <c r="K674" s="23" t="e">
        <f>ROUND(G674/J674,4)</f>
        <v>#DIV/0!</v>
      </c>
      <c r="L674" s="24" t="e">
        <f>1-K674</f>
        <v>#DIV/0!</v>
      </c>
      <c r="M674" s="25" t="s">
        <v>3367</v>
      </c>
      <c r="N674" s="25" t="s">
        <v>3368</v>
      </c>
      <c r="O674" s="26" t="s">
        <v>3369</v>
      </c>
      <c r="P674" s="27" t="s">
        <v>2278</v>
      </c>
      <c r="Q674" s="27" t="s">
        <v>25</v>
      </c>
      <c r="R674" s="21" t="s">
        <v>39</v>
      </c>
      <c r="S674" s="29">
        <v>586</v>
      </c>
      <c r="T674" s="1"/>
    </row>
    <row r="675" spans="1:34" x14ac:dyDescent="0.3">
      <c r="A675" s="31">
        <v>671</v>
      </c>
      <c r="B675" s="32" t="s">
        <v>3370</v>
      </c>
      <c r="C675" s="33" t="s">
        <v>3371</v>
      </c>
      <c r="D675" s="19">
        <v>46017</v>
      </c>
      <c r="E675" s="49"/>
      <c r="F675" s="49"/>
      <c r="G675" s="20"/>
      <c r="H675" s="20"/>
      <c r="I675" s="21">
        <v>77.884399999999999</v>
      </c>
      <c r="J675" s="22">
        <f>ROUND(I675*H675,2)</f>
        <v>0</v>
      </c>
      <c r="K675" s="23" t="e">
        <f>ROUND(G675/J675,4)</f>
        <v>#DIV/0!</v>
      </c>
      <c r="L675" s="24" t="e">
        <f>1-K675</f>
        <v>#DIV/0!</v>
      </c>
      <c r="M675" s="25" t="s">
        <v>3372</v>
      </c>
      <c r="N675" s="25" t="s">
        <v>3373</v>
      </c>
      <c r="O675" s="26" t="s">
        <v>3374</v>
      </c>
      <c r="P675" s="27" t="s">
        <v>3359</v>
      </c>
      <c r="Q675" s="27" t="s">
        <v>25</v>
      </c>
      <c r="R675" s="21" t="s">
        <v>39</v>
      </c>
      <c r="S675" s="29">
        <v>587</v>
      </c>
      <c r="T675" s="1"/>
    </row>
    <row r="676" spans="1:34" x14ac:dyDescent="0.3">
      <c r="A676" s="16">
        <v>672</v>
      </c>
      <c r="B676" s="17" t="s">
        <v>3375</v>
      </c>
      <c r="C676" s="18" t="s">
        <v>3376</v>
      </c>
      <c r="D676" s="19">
        <v>46017</v>
      </c>
      <c r="E676" s="49"/>
      <c r="F676" s="49"/>
      <c r="G676" s="20"/>
      <c r="H676" s="20"/>
      <c r="I676" s="21">
        <v>77.884399999999999</v>
      </c>
      <c r="J676" s="22">
        <f>ROUND(I676*H676,2)</f>
        <v>0</v>
      </c>
      <c r="K676" s="23" t="e">
        <f>ROUND(G676/J676,4)</f>
        <v>#DIV/0!</v>
      </c>
      <c r="L676" s="24" t="e">
        <f>1-K676</f>
        <v>#DIV/0!</v>
      </c>
      <c r="M676" s="25" t="s">
        <v>3377</v>
      </c>
      <c r="N676" s="25" t="s">
        <v>3378</v>
      </c>
      <c r="O676" s="26" t="s">
        <v>3379</v>
      </c>
      <c r="P676" s="27" t="s">
        <v>32</v>
      </c>
      <c r="Q676" s="27" t="s">
        <v>25</v>
      </c>
      <c r="R676" s="64" t="s">
        <v>39</v>
      </c>
      <c r="S676" s="29">
        <v>588</v>
      </c>
      <c r="T676" s="1"/>
    </row>
    <row r="677" spans="1:34" x14ac:dyDescent="0.3">
      <c r="A677" s="31">
        <v>673</v>
      </c>
      <c r="B677" s="26" t="s">
        <v>3380</v>
      </c>
      <c r="C677" s="27" t="s">
        <v>3381</v>
      </c>
      <c r="D677" s="19">
        <v>46017</v>
      </c>
      <c r="E677" s="49"/>
      <c r="F677" s="49"/>
      <c r="G677" s="20"/>
      <c r="H677" s="20"/>
      <c r="I677" s="21">
        <v>77.884399999999999</v>
      </c>
      <c r="J677" s="22">
        <f>ROUND(I677*H677,2)</f>
        <v>0</v>
      </c>
      <c r="K677" s="23" t="e">
        <f>ROUND(G677/J677,4)</f>
        <v>#DIV/0!</v>
      </c>
      <c r="L677" s="24" t="e">
        <f>1-K677</f>
        <v>#DIV/0!</v>
      </c>
      <c r="M677" s="25"/>
      <c r="N677" s="25"/>
      <c r="O677" s="26" t="s">
        <v>3382</v>
      </c>
      <c r="P677" s="27" t="s">
        <v>3383</v>
      </c>
      <c r="Q677" s="27" t="s">
        <v>25</v>
      </c>
      <c r="R677" s="64" t="s">
        <v>26</v>
      </c>
      <c r="S677" s="29"/>
      <c r="T677" s="1"/>
    </row>
    <row r="678" spans="1:34" x14ac:dyDescent="0.3">
      <c r="A678" s="16">
        <v>674</v>
      </c>
      <c r="B678" s="17" t="s">
        <v>3384</v>
      </c>
      <c r="C678" s="34" t="s">
        <v>3385</v>
      </c>
      <c r="D678" s="19">
        <v>46017</v>
      </c>
      <c r="E678" s="49"/>
      <c r="F678" s="49"/>
      <c r="G678" s="20"/>
      <c r="H678" s="20"/>
      <c r="I678" s="21">
        <v>77.884399999999999</v>
      </c>
      <c r="J678" s="22">
        <f>ROUND(I678*H678,2)</f>
        <v>0</v>
      </c>
      <c r="K678" s="23" t="e">
        <f>ROUND(G678/J678,4)</f>
        <v>#DIV/0!</v>
      </c>
      <c r="L678" s="24" t="e">
        <f>1-K678</f>
        <v>#DIV/0!</v>
      </c>
      <c r="M678" s="25" t="s">
        <v>3386</v>
      </c>
      <c r="N678" s="25" t="s">
        <v>3387</v>
      </c>
      <c r="O678" s="26" t="s">
        <v>3388</v>
      </c>
      <c r="P678" s="27" t="s">
        <v>1085</v>
      </c>
      <c r="Q678" s="27" t="s">
        <v>25</v>
      </c>
      <c r="R678" s="21" t="s">
        <v>26</v>
      </c>
      <c r="S678" s="29">
        <v>589</v>
      </c>
      <c r="T678" s="1"/>
    </row>
    <row r="679" spans="1:34" x14ac:dyDescent="0.3">
      <c r="A679" s="16">
        <v>675</v>
      </c>
      <c r="B679" s="17" t="s">
        <v>3389</v>
      </c>
      <c r="C679" s="18" t="s">
        <v>3390</v>
      </c>
      <c r="D679" s="19">
        <v>46017</v>
      </c>
      <c r="E679" s="49"/>
      <c r="F679" s="49"/>
      <c r="G679" s="20"/>
      <c r="H679" s="20"/>
      <c r="I679" s="21">
        <v>77.884399999999999</v>
      </c>
      <c r="J679" s="22">
        <f>ROUND(I679*H679,2)</f>
        <v>0</v>
      </c>
      <c r="K679" s="23" t="e">
        <f>ROUND(G679/J679,4)</f>
        <v>#DIV/0!</v>
      </c>
      <c r="L679" s="24" t="e">
        <f>1-K679</f>
        <v>#DIV/0!</v>
      </c>
      <c r="M679" s="25" t="s">
        <v>3391</v>
      </c>
      <c r="N679" s="25" t="s">
        <v>3392</v>
      </c>
      <c r="O679" s="26" t="s">
        <v>3393</v>
      </c>
      <c r="P679" s="27" t="s">
        <v>123</v>
      </c>
      <c r="Q679" s="27" t="s">
        <v>25</v>
      </c>
      <c r="R679" s="21" t="s">
        <v>39</v>
      </c>
      <c r="S679" s="29">
        <v>590</v>
      </c>
      <c r="T679" s="1"/>
    </row>
    <row r="680" spans="1:34" x14ac:dyDescent="0.3">
      <c r="A680" s="16">
        <v>676</v>
      </c>
      <c r="B680" s="17" t="s">
        <v>3394</v>
      </c>
      <c r="C680" s="18" t="s">
        <v>3395</v>
      </c>
      <c r="D680" s="19">
        <v>46017</v>
      </c>
      <c r="E680" s="49"/>
      <c r="F680" s="49"/>
      <c r="G680" s="20"/>
      <c r="H680" s="20"/>
      <c r="I680" s="21">
        <v>77.884399999999999</v>
      </c>
      <c r="J680" s="22">
        <f>ROUND(I680*H680,2)</f>
        <v>0</v>
      </c>
      <c r="K680" s="23" t="e">
        <f>ROUND(G680/J680,4)</f>
        <v>#DIV/0!</v>
      </c>
      <c r="L680" s="24" t="e">
        <f>1-K680</f>
        <v>#DIV/0!</v>
      </c>
      <c r="M680" s="25" t="s">
        <v>3396</v>
      </c>
      <c r="N680" s="25" t="s">
        <v>3397</v>
      </c>
      <c r="O680" s="26" t="s">
        <v>3398</v>
      </c>
      <c r="P680" s="27" t="s">
        <v>32</v>
      </c>
      <c r="Q680" s="27" t="s">
        <v>25</v>
      </c>
      <c r="R680" s="64" t="s">
        <v>26</v>
      </c>
      <c r="S680" s="29">
        <v>591</v>
      </c>
      <c r="T680" s="1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</row>
    <row r="681" spans="1:34" x14ac:dyDescent="0.3">
      <c r="A681" s="16">
        <v>677</v>
      </c>
      <c r="B681" s="17" t="s">
        <v>3399</v>
      </c>
      <c r="C681" s="18" t="s">
        <v>3400</v>
      </c>
      <c r="D681" s="19">
        <v>46017</v>
      </c>
      <c r="E681" s="49"/>
      <c r="F681" s="49"/>
      <c r="G681" s="20"/>
      <c r="H681" s="20"/>
      <c r="I681" s="21">
        <v>77.884399999999999</v>
      </c>
      <c r="J681" s="22">
        <f>ROUND(I681*H681,2)</f>
        <v>0</v>
      </c>
      <c r="K681" s="23" t="e">
        <f>ROUND(G681/J681,4)</f>
        <v>#DIV/0!</v>
      </c>
      <c r="L681" s="24" t="e">
        <f>1-K681</f>
        <v>#DIV/0!</v>
      </c>
      <c r="M681" s="25" t="s">
        <v>3401</v>
      </c>
      <c r="N681" s="25" t="s">
        <v>3402</v>
      </c>
      <c r="O681" s="26" t="s">
        <v>3403</v>
      </c>
      <c r="P681" s="27" t="s">
        <v>68</v>
      </c>
      <c r="Q681" s="27" t="s">
        <v>25</v>
      </c>
      <c r="R681" s="64" t="s">
        <v>26</v>
      </c>
      <c r="S681" s="29">
        <v>592</v>
      </c>
      <c r="T681" s="1"/>
    </row>
    <row r="682" spans="1:34" x14ac:dyDescent="0.3">
      <c r="A682" s="16">
        <v>678</v>
      </c>
      <c r="B682" s="17" t="s">
        <v>3404</v>
      </c>
      <c r="C682" s="18" t="s">
        <v>3405</v>
      </c>
      <c r="D682" s="19">
        <v>46017</v>
      </c>
      <c r="E682" s="49"/>
      <c r="F682" s="49"/>
      <c r="G682" s="20"/>
      <c r="H682" s="20"/>
      <c r="I682" s="21">
        <v>77.884399999999999</v>
      </c>
      <c r="J682" s="22">
        <f>ROUND(I682*H682,2)</f>
        <v>0</v>
      </c>
      <c r="K682" s="23" t="e">
        <f>ROUND(G682/J682,4)</f>
        <v>#DIV/0!</v>
      </c>
      <c r="L682" s="24" t="e">
        <f>1-K682</f>
        <v>#DIV/0!</v>
      </c>
      <c r="M682" s="25" t="s">
        <v>3406</v>
      </c>
      <c r="N682" s="25" t="s">
        <v>3407</v>
      </c>
      <c r="O682" s="26" t="s">
        <v>3408</v>
      </c>
      <c r="P682" s="27" t="s">
        <v>622</v>
      </c>
      <c r="Q682" s="27" t="s">
        <v>25</v>
      </c>
      <c r="R682" s="21" t="s">
        <v>26</v>
      </c>
      <c r="S682" s="29">
        <v>593</v>
      </c>
      <c r="T682" s="1"/>
    </row>
    <row r="683" spans="1:34" x14ac:dyDescent="0.3">
      <c r="A683" s="31">
        <v>679</v>
      </c>
      <c r="B683" s="26" t="s">
        <v>3409</v>
      </c>
      <c r="C683" s="27" t="s">
        <v>3410</v>
      </c>
      <c r="D683" s="19">
        <v>46017</v>
      </c>
      <c r="E683" s="49"/>
      <c r="F683" s="49"/>
      <c r="G683" s="20"/>
      <c r="H683" s="20"/>
      <c r="I683" s="21">
        <v>77.884399999999999</v>
      </c>
      <c r="J683" s="22">
        <f>ROUND(I683*H683,2)</f>
        <v>0</v>
      </c>
      <c r="K683" s="23" t="e">
        <f>ROUND(G683/J683,4)</f>
        <v>#DIV/0!</v>
      </c>
      <c r="L683" s="24" t="e">
        <f>1-K683</f>
        <v>#DIV/0!</v>
      </c>
      <c r="M683" s="25"/>
      <c r="N683" s="25"/>
      <c r="O683" s="26" t="s">
        <v>3411</v>
      </c>
      <c r="P683" s="27" t="s">
        <v>3412</v>
      </c>
      <c r="Q683" s="27" t="s">
        <v>3413</v>
      </c>
      <c r="R683" s="21" t="s">
        <v>26</v>
      </c>
      <c r="S683" s="29"/>
      <c r="T683" s="1"/>
    </row>
    <row r="684" spans="1:34" x14ac:dyDescent="0.3">
      <c r="A684" s="31">
        <v>680</v>
      </c>
      <c r="B684" s="32" t="s">
        <v>3414</v>
      </c>
      <c r="C684" s="33" t="s">
        <v>3415</v>
      </c>
      <c r="D684" s="19">
        <v>46017</v>
      </c>
      <c r="E684" s="49"/>
      <c r="F684" s="49"/>
      <c r="G684" s="20"/>
      <c r="H684" s="20"/>
      <c r="I684" s="21">
        <v>77.884399999999999</v>
      </c>
      <c r="J684" s="22">
        <f>ROUND(I684*H684,2)</f>
        <v>0</v>
      </c>
      <c r="K684" s="23" t="e">
        <f>ROUND(G684/J684,4)</f>
        <v>#DIV/0!</v>
      </c>
      <c r="L684" s="24" t="e">
        <f>1-K684</f>
        <v>#DIV/0!</v>
      </c>
      <c r="M684" s="25" t="s">
        <v>3416</v>
      </c>
      <c r="N684" s="25" t="s">
        <v>3417</v>
      </c>
      <c r="O684" s="26" t="s">
        <v>3418</v>
      </c>
      <c r="P684" s="27" t="s">
        <v>1381</v>
      </c>
      <c r="Q684" s="27" t="s">
        <v>25</v>
      </c>
      <c r="R684" s="21" t="s">
        <v>26</v>
      </c>
      <c r="S684" s="29">
        <v>594</v>
      </c>
      <c r="T684" s="1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</row>
    <row r="685" spans="1:34" x14ac:dyDescent="0.3">
      <c r="A685" s="16">
        <v>759</v>
      </c>
      <c r="B685" s="69" t="s">
        <v>3912</v>
      </c>
      <c r="C685" s="63" t="s">
        <v>3934</v>
      </c>
      <c r="D685" s="19">
        <v>46017</v>
      </c>
      <c r="E685" s="56"/>
      <c r="F685" s="27"/>
      <c r="G685" s="20"/>
      <c r="H685" s="20"/>
      <c r="I685" s="21">
        <v>77.884399999999999</v>
      </c>
      <c r="J685" s="22">
        <f>ROUND(I685*H685,2)</f>
        <v>0</v>
      </c>
      <c r="K685" s="23" t="e">
        <f>ROUND(G685/J685,4)</f>
        <v>#DIV/0!</v>
      </c>
      <c r="L685" s="24" t="e">
        <f>1-K685</f>
        <v>#DIV/0!</v>
      </c>
      <c r="M685" s="37" t="s">
        <v>3812</v>
      </c>
      <c r="N685" s="37" t="s">
        <v>3813</v>
      </c>
      <c r="O685" s="26" t="s">
        <v>3896</v>
      </c>
      <c r="P685" s="27"/>
      <c r="Q685" s="27"/>
      <c r="R685" s="21" t="s">
        <v>26</v>
      </c>
      <c r="S685" s="29">
        <v>595</v>
      </c>
      <c r="T685" s="30"/>
      <c r="W685" s="30"/>
    </row>
    <row r="686" spans="1:34" x14ac:dyDescent="0.3">
      <c r="A686" s="16">
        <v>681</v>
      </c>
      <c r="B686" s="17" t="s">
        <v>3419</v>
      </c>
      <c r="C686" s="18" t="s">
        <v>3420</v>
      </c>
      <c r="D686" s="19">
        <v>46017</v>
      </c>
      <c r="E686" s="49"/>
      <c r="F686" s="49"/>
      <c r="G686" s="20"/>
      <c r="H686" s="20"/>
      <c r="I686" s="21">
        <v>77.884399999999999</v>
      </c>
      <c r="J686" s="22">
        <f>ROUND(I686*H686,2)</f>
        <v>0</v>
      </c>
      <c r="K686" s="23" t="e">
        <f>ROUND(G686/J686,4)</f>
        <v>#DIV/0!</v>
      </c>
      <c r="L686" s="24" t="e">
        <f>1-K686</f>
        <v>#DIV/0!</v>
      </c>
      <c r="M686" s="25" t="s">
        <v>3421</v>
      </c>
      <c r="N686" s="25" t="s">
        <v>3422</v>
      </c>
      <c r="O686" s="26" t="s">
        <v>3423</v>
      </c>
      <c r="P686" s="27" t="s">
        <v>24</v>
      </c>
      <c r="Q686" s="27" t="s">
        <v>25</v>
      </c>
      <c r="R686" s="64" t="s">
        <v>39</v>
      </c>
      <c r="S686" s="29">
        <v>596</v>
      </c>
      <c r="T686" s="1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</row>
    <row r="687" spans="1:34" x14ac:dyDescent="0.3">
      <c r="A687" s="16">
        <v>682</v>
      </c>
      <c r="B687" s="17" t="s">
        <v>3424</v>
      </c>
      <c r="C687" s="18" t="s">
        <v>3425</v>
      </c>
      <c r="D687" s="19">
        <v>46017</v>
      </c>
      <c r="E687" s="49"/>
      <c r="F687" s="49"/>
      <c r="G687" s="20"/>
      <c r="H687" s="20"/>
      <c r="I687" s="21">
        <v>77.884399999999999</v>
      </c>
      <c r="J687" s="22">
        <f>ROUND(I687*H687,2)</f>
        <v>0</v>
      </c>
      <c r="K687" s="23" t="e">
        <f>ROUND(G687/J687,4)</f>
        <v>#DIV/0!</v>
      </c>
      <c r="L687" s="24" t="e">
        <f>1-K687</f>
        <v>#DIV/0!</v>
      </c>
      <c r="M687" s="25" t="s">
        <v>3426</v>
      </c>
      <c r="N687" s="25" t="s">
        <v>3427</v>
      </c>
      <c r="O687" s="26" t="s">
        <v>3428</v>
      </c>
      <c r="P687" s="27" t="s">
        <v>1148</v>
      </c>
      <c r="Q687" s="27" t="s">
        <v>25</v>
      </c>
      <c r="R687" s="21"/>
      <c r="S687" s="29">
        <v>597</v>
      </c>
      <c r="T687" s="1"/>
    </row>
    <row r="688" spans="1:34" x14ac:dyDescent="0.3">
      <c r="A688" s="16">
        <v>683</v>
      </c>
      <c r="B688" s="17" t="s">
        <v>3429</v>
      </c>
      <c r="C688" s="18" t="s">
        <v>3430</v>
      </c>
      <c r="D688" s="19">
        <v>46017</v>
      </c>
      <c r="E688" s="49"/>
      <c r="F688" s="49"/>
      <c r="G688" s="20"/>
      <c r="H688" s="20"/>
      <c r="I688" s="21">
        <v>77.884399999999999</v>
      </c>
      <c r="J688" s="22">
        <f>ROUND(I688*H688,2)</f>
        <v>0</v>
      </c>
      <c r="K688" s="23" t="e">
        <f>ROUND(G688/J688,4)</f>
        <v>#DIV/0!</v>
      </c>
      <c r="L688" s="24" t="e">
        <f>1-K688</f>
        <v>#DIV/0!</v>
      </c>
      <c r="M688" s="25" t="s">
        <v>3431</v>
      </c>
      <c r="N688" s="25" t="s">
        <v>3432</v>
      </c>
      <c r="O688" s="26" t="s">
        <v>3433</v>
      </c>
      <c r="P688" s="27" t="s">
        <v>32</v>
      </c>
      <c r="Q688" s="27" t="s">
        <v>25</v>
      </c>
      <c r="R688" s="21" t="s">
        <v>26</v>
      </c>
      <c r="S688" s="29">
        <v>598</v>
      </c>
      <c r="T688" s="1"/>
    </row>
    <row r="689" spans="1:34" x14ac:dyDescent="0.3">
      <c r="A689" s="16">
        <v>684</v>
      </c>
      <c r="B689" s="17" t="s">
        <v>3434</v>
      </c>
      <c r="C689" s="18" t="s">
        <v>3435</v>
      </c>
      <c r="D689" s="19">
        <v>46017</v>
      </c>
      <c r="E689" s="49"/>
      <c r="F689" s="49"/>
      <c r="G689" s="20"/>
      <c r="H689" s="20"/>
      <c r="I689" s="21">
        <v>77.884399999999999</v>
      </c>
      <c r="J689" s="22">
        <f>ROUND(I689*H689,2)</f>
        <v>0</v>
      </c>
      <c r="K689" s="23" t="e">
        <f>ROUND(G689/J689,4)</f>
        <v>#DIV/0!</v>
      </c>
      <c r="L689" s="24" t="e">
        <f>1-K689</f>
        <v>#DIV/0!</v>
      </c>
      <c r="M689" s="25" t="s">
        <v>3436</v>
      </c>
      <c r="N689" s="25" t="s">
        <v>3437</v>
      </c>
      <c r="O689" s="26" t="s">
        <v>3438</v>
      </c>
      <c r="P689" s="27" t="s">
        <v>32</v>
      </c>
      <c r="Q689" s="27" t="s">
        <v>25</v>
      </c>
      <c r="R689" s="21" t="s">
        <v>26</v>
      </c>
      <c r="S689" s="29">
        <v>599</v>
      </c>
      <c r="T689" s="1"/>
    </row>
    <row r="690" spans="1:34" x14ac:dyDescent="0.3">
      <c r="A690" s="16">
        <v>685</v>
      </c>
      <c r="B690" s="17" t="s">
        <v>3439</v>
      </c>
      <c r="C690" s="18" t="s">
        <v>3440</v>
      </c>
      <c r="D690" s="19">
        <v>46017</v>
      </c>
      <c r="E690" s="49"/>
      <c r="F690" s="49"/>
      <c r="G690" s="20"/>
      <c r="H690" s="20"/>
      <c r="I690" s="21">
        <v>77.884399999999999</v>
      </c>
      <c r="J690" s="22">
        <f>ROUND(I690*H690,2)</f>
        <v>0</v>
      </c>
      <c r="K690" s="23" t="e">
        <f>ROUND(G690/J690,4)</f>
        <v>#DIV/0!</v>
      </c>
      <c r="L690" s="24" t="e">
        <f>1-K690</f>
        <v>#DIV/0!</v>
      </c>
      <c r="M690" s="25" t="s">
        <v>3441</v>
      </c>
      <c r="N690" s="25" t="s">
        <v>3442</v>
      </c>
      <c r="O690" s="26" t="s">
        <v>3443</v>
      </c>
      <c r="P690" s="27" t="s">
        <v>1148</v>
      </c>
      <c r="Q690" s="27" t="s">
        <v>25</v>
      </c>
      <c r="R690" s="21" t="s">
        <v>26</v>
      </c>
      <c r="S690" s="29">
        <v>600</v>
      </c>
      <c r="T690" s="1"/>
    </row>
    <row r="691" spans="1:34" x14ac:dyDescent="0.3">
      <c r="A691" s="31">
        <v>686</v>
      </c>
      <c r="B691" s="32" t="s">
        <v>3444</v>
      </c>
      <c r="C691" s="33" t="s">
        <v>3445</v>
      </c>
      <c r="D691" s="19">
        <v>46017</v>
      </c>
      <c r="E691" s="49"/>
      <c r="F691" s="49"/>
      <c r="G691" s="20"/>
      <c r="H691" s="20"/>
      <c r="I691" s="21">
        <v>77.884399999999999</v>
      </c>
      <c r="J691" s="22">
        <f>ROUND(I691*H691,2)</f>
        <v>0</v>
      </c>
      <c r="K691" s="23" t="e">
        <f>ROUND(G691/J691,4)</f>
        <v>#DIV/0!</v>
      </c>
      <c r="L691" s="24" t="e">
        <f>1-K691</f>
        <v>#DIV/0!</v>
      </c>
      <c r="M691" s="25" t="s">
        <v>3446</v>
      </c>
      <c r="N691" s="25" t="s">
        <v>3447</v>
      </c>
      <c r="O691" s="26" t="s">
        <v>3448</v>
      </c>
      <c r="P691" s="27" t="s">
        <v>45</v>
      </c>
      <c r="Q691" s="27" t="s">
        <v>25</v>
      </c>
      <c r="R691" s="21" t="s">
        <v>39</v>
      </c>
      <c r="S691" s="29">
        <v>601</v>
      </c>
      <c r="T691" s="1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</row>
    <row r="692" spans="1:34" x14ac:dyDescent="0.3">
      <c r="A692" s="31">
        <v>687</v>
      </c>
      <c r="B692" s="32" t="s">
        <v>3449</v>
      </c>
      <c r="C692" s="33" t="s">
        <v>3450</v>
      </c>
      <c r="D692" s="19">
        <v>46017</v>
      </c>
      <c r="E692" s="49"/>
      <c r="F692" s="49"/>
      <c r="G692" s="20"/>
      <c r="H692" s="20"/>
      <c r="I692" s="21">
        <v>77.884399999999999</v>
      </c>
      <c r="J692" s="22">
        <f>ROUND(I692*H692,2)</f>
        <v>0</v>
      </c>
      <c r="K692" s="23" t="e">
        <f>ROUND(G692/J692,4)</f>
        <v>#DIV/0!</v>
      </c>
      <c r="L692" s="24" t="e">
        <f>1-K692</f>
        <v>#DIV/0!</v>
      </c>
      <c r="M692" s="25" t="s">
        <v>3451</v>
      </c>
      <c r="N692" s="25" t="s">
        <v>3452</v>
      </c>
      <c r="O692" s="26" t="s">
        <v>3453</v>
      </c>
      <c r="P692" s="27" t="s">
        <v>3454</v>
      </c>
      <c r="Q692" s="27" t="s">
        <v>25</v>
      </c>
      <c r="R692" s="21" t="s">
        <v>39</v>
      </c>
      <c r="S692" s="29">
        <v>602</v>
      </c>
      <c r="T692" s="1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</row>
    <row r="693" spans="1:34" x14ac:dyDescent="0.3">
      <c r="A693" s="16">
        <v>688</v>
      </c>
      <c r="B693" s="17" t="s">
        <v>3455</v>
      </c>
      <c r="C693" s="18" t="s">
        <v>3456</v>
      </c>
      <c r="D693" s="19">
        <v>46017</v>
      </c>
      <c r="E693" s="49"/>
      <c r="F693" s="49"/>
      <c r="G693" s="20"/>
      <c r="H693" s="20"/>
      <c r="I693" s="21">
        <v>77.884399999999999</v>
      </c>
      <c r="J693" s="22">
        <f>ROUND(I693*H693,2)</f>
        <v>0</v>
      </c>
      <c r="K693" s="23" t="e">
        <f>ROUND(G693/J693,4)</f>
        <v>#DIV/0!</v>
      </c>
      <c r="L693" s="24" t="e">
        <f>1-K693</f>
        <v>#DIV/0!</v>
      </c>
      <c r="M693" s="25" t="s">
        <v>3457</v>
      </c>
      <c r="N693" s="25" t="s">
        <v>3458</v>
      </c>
      <c r="O693" s="26" t="s">
        <v>3459</v>
      </c>
      <c r="P693" s="27" t="s">
        <v>1617</v>
      </c>
      <c r="Q693" s="27" t="s">
        <v>25</v>
      </c>
      <c r="R693" s="64" t="s">
        <v>39</v>
      </c>
      <c r="S693" s="29">
        <v>603</v>
      </c>
      <c r="T693" s="1"/>
    </row>
    <row r="694" spans="1:34" x14ac:dyDescent="0.3">
      <c r="A694" s="16">
        <v>689</v>
      </c>
      <c r="B694" s="17" t="s">
        <v>3460</v>
      </c>
      <c r="C694" s="18" t="s">
        <v>3461</v>
      </c>
      <c r="D694" s="19">
        <v>46017</v>
      </c>
      <c r="E694" s="49"/>
      <c r="F694" s="49"/>
      <c r="G694" s="20"/>
      <c r="H694" s="20"/>
      <c r="I694" s="21">
        <v>77.884399999999999</v>
      </c>
      <c r="J694" s="22">
        <f>ROUND(I694*H694,2)</f>
        <v>0</v>
      </c>
      <c r="K694" s="23" t="e">
        <f>ROUND(G694/J694,4)</f>
        <v>#DIV/0!</v>
      </c>
      <c r="L694" s="24" t="e">
        <f>1-K694</f>
        <v>#DIV/0!</v>
      </c>
      <c r="M694" s="25" t="s">
        <v>3462</v>
      </c>
      <c r="N694" s="25" t="s">
        <v>3463</v>
      </c>
      <c r="O694" s="26" t="s">
        <v>3464</v>
      </c>
      <c r="P694" s="27" t="s">
        <v>24</v>
      </c>
      <c r="Q694" s="27" t="s">
        <v>25</v>
      </c>
      <c r="R694" s="64" t="s">
        <v>39</v>
      </c>
      <c r="S694" s="29">
        <v>604</v>
      </c>
      <c r="T694" s="1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</row>
    <row r="695" spans="1:34" x14ac:dyDescent="0.3">
      <c r="A695" s="16">
        <v>690</v>
      </c>
      <c r="B695" s="17" t="s">
        <v>3465</v>
      </c>
      <c r="C695" s="18" t="s">
        <v>3466</v>
      </c>
      <c r="D695" s="19">
        <v>46017</v>
      </c>
      <c r="E695" s="49"/>
      <c r="F695" s="49"/>
      <c r="G695" s="20"/>
      <c r="H695" s="20"/>
      <c r="I695" s="21">
        <v>77.884399999999999</v>
      </c>
      <c r="J695" s="22">
        <f>ROUND(I695*H695,2)</f>
        <v>0</v>
      </c>
      <c r="K695" s="23" t="e">
        <f>ROUND(G695/J695,4)</f>
        <v>#DIV/0!</v>
      </c>
      <c r="L695" s="24" t="e">
        <f>1-K695</f>
        <v>#DIV/0!</v>
      </c>
      <c r="M695" s="25" t="s">
        <v>3467</v>
      </c>
      <c r="N695" s="25" t="s">
        <v>3468</v>
      </c>
      <c r="O695" s="26" t="s">
        <v>3469</v>
      </c>
      <c r="P695" s="27" t="s">
        <v>32</v>
      </c>
      <c r="Q695" s="27" t="s">
        <v>25</v>
      </c>
      <c r="R695" s="21" t="s">
        <v>26</v>
      </c>
      <c r="S695" s="29">
        <v>605</v>
      </c>
      <c r="T695" s="1"/>
    </row>
    <row r="696" spans="1:34" x14ac:dyDescent="0.3">
      <c r="A696" s="16">
        <v>691</v>
      </c>
      <c r="B696" s="17" t="s">
        <v>3470</v>
      </c>
      <c r="C696" s="18" t="s">
        <v>3471</v>
      </c>
      <c r="D696" s="19">
        <v>46017</v>
      </c>
      <c r="E696" s="49"/>
      <c r="F696" s="49"/>
      <c r="G696" s="20"/>
      <c r="H696" s="20"/>
      <c r="I696" s="21">
        <v>77.884399999999999</v>
      </c>
      <c r="J696" s="22">
        <f>ROUND(I696*H696,2)</f>
        <v>0</v>
      </c>
      <c r="K696" s="23" t="e">
        <f>ROUND(G696/J696,4)</f>
        <v>#DIV/0!</v>
      </c>
      <c r="L696" s="24" t="e">
        <f>1-K696</f>
        <v>#DIV/0!</v>
      </c>
      <c r="M696" s="25" t="s">
        <v>3472</v>
      </c>
      <c r="N696" s="25" t="s">
        <v>3473</v>
      </c>
      <c r="O696" s="26" t="s">
        <v>3474</v>
      </c>
      <c r="P696" s="27" t="s">
        <v>1687</v>
      </c>
      <c r="Q696" s="27" t="s">
        <v>25</v>
      </c>
      <c r="R696" s="21" t="s">
        <v>39</v>
      </c>
      <c r="S696" s="29">
        <v>606</v>
      </c>
      <c r="T696" s="1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</row>
    <row r="697" spans="1:34" x14ac:dyDescent="0.3">
      <c r="A697" s="16">
        <v>692</v>
      </c>
      <c r="B697" s="17" t="s">
        <v>3475</v>
      </c>
      <c r="C697" s="18" t="s">
        <v>3476</v>
      </c>
      <c r="D697" s="19">
        <v>46017</v>
      </c>
      <c r="E697" s="49"/>
      <c r="F697" s="49"/>
      <c r="G697" s="20"/>
      <c r="H697" s="20"/>
      <c r="I697" s="21">
        <v>77.884399999999999</v>
      </c>
      <c r="J697" s="22">
        <f>ROUND(I697*H697,2)</f>
        <v>0</v>
      </c>
      <c r="K697" s="23" t="e">
        <f>ROUND(G697/J697,4)</f>
        <v>#DIV/0!</v>
      </c>
      <c r="L697" s="24" t="e">
        <f>1-K697</f>
        <v>#DIV/0!</v>
      </c>
      <c r="M697" s="25" t="s">
        <v>3477</v>
      </c>
      <c r="N697" s="25" t="s">
        <v>3478</v>
      </c>
      <c r="O697" s="26" t="s">
        <v>3479</v>
      </c>
      <c r="P697" s="27" t="s">
        <v>250</v>
      </c>
      <c r="Q697" s="27" t="s">
        <v>25</v>
      </c>
      <c r="R697" s="21" t="s">
        <v>26</v>
      </c>
      <c r="S697" s="29">
        <v>607</v>
      </c>
      <c r="T697" s="1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</row>
    <row r="698" spans="1:34" x14ac:dyDescent="0.3">
      <c r="A698" s="31">
        <v>693</v>
      </c>
      <c r="B698" s="32" t="s">
        <v>3480</v>
      </c>
      <c r="C698" s="33" t="s">
        <v>3481</v>
      </c>
      <c r="D698" s="19">
        <v>46017</v>
      </c>
      <c r="E698" s="49"/>
      <c r="F698" s="49"/>
      <c r="G698" s="20"/>
      <c r="H698" s="20"/>
      <c r="I698" s="21">
        <v>77.884399999999999</v>
      </c>
      <c r="J698" s="22">
        <f>ROUND(I698*H698,2)</f>
        <v>0</v>
      </c>
      <c r="K698" s="23" t="e">
        <f>ROUND(G698/J698,4)</f>
        <v>#DIV/0!</v>
      </c>
      <c r="L698" s="24" t="e">
        <f>1-K698</f>
        <v>#DIV/0!</v>
      </c>
      <c r="M698" s="25" t="s">
        <v>3482</v>
      </c>
      <c r="N698" s="25" t="s">
        <v>3483</v>
      </c>
      <c r="O698" s="26" t="s">
        <v>3484</v>
      </c>
      <c r="P698" s="27" t="s">
        <v>250</v>
      </c>
      <c r="Q698" s="27" t="s">
        <v>25</v>
      </c>
      <c r="R698" s="64" t="s">
        <v>26</v>
      </c>
      <c r="S698" s="29">
        <v>608</v>
      </c>
      <c r="T698" s="1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</row>
    <row r="699" spans="1:34" x14ac:dyDescent="0.3">
      <c r="A699" s="31">
        <v>694</v>
      </c>
      <c r="B699" s="26" t="s">
        <v>3485</v>
      </c>
      <c r="C699" s="27" t="s">
        <v>3486</v>
      </c>
      <c r="D699" s="19">
        <v>46017</v>
      </c>
      <c r="E699" s="49"/>
      <c r="F699" s="49"/>
      <c r="G699" s="20"/>
      <c r="H699" s="20"/>
      <c r="I699" s="21">
        <v>77.884399999999999</v>
      </c>
      <c r="J699" s="22">
        <f>ROUND(I699*H699,2)</f>
        <v>0</v>
      </c>
      <c r="K699" s="23" t="e">
        <f>ROUND(G699/J699,4)</f>
        <v>#DIV/0!</v>
      </c>
      <c r="L699" s="24" t="e">
        <f>1-K699</f>
        <v>#DIV/0!</v>
      </c>
      <c r="M699" s="25"/>
      <c r="N699" s="25"/>
      <c r="O699" s="26" t="s">
        <v>3487</v>
      </c>
      <c r="P699" s="27" t="s">
        <v>3488</v>
      </c>
      <c r="Q699" s="27" t="s">
        <v>25</v>
      </c>
      <c r="R699" s="21" t="s">
        <v>26</v>
      </c>
      <c r="S699" s="29"/>
      <c r="T699" s="1"/>
    </row>
    <row r="700" spans="1:34" x14ac:dyDescent="0.3">
      <c r="A700" s="31">
        <v>695</v>
      </c>
      <c r="B700" s="26" t="s">
        <v>3489</v>
      </c>
      <c r="C700" s="27" t="s">
        <v>3490</v>
      </c>
      <c r="D700" s="19">
        <v>46017</v>
      </c>
      <c r="E700" s="49"/>
      <c r="F700" s="49"/>
      <c r="G700" s="20"/>
      <c r="H700" s="20"/>
      <c r="I700" s="21">
        <v>77.884399999999999</v>
      </c>
      <c r="J700" s="22">
        <f>ROUND(I700*H700,2)</f>
        <v>0</v>
      </c>
      <c r="K700" s="23" t="e">
        <f>ROUND(G700/J700,4)</f>
        <v>#DIV/0!</v>
      </c>
      <c r="L700" s="24" t="e">
        <f>1-K700</f>
        <v>#DIV/0!</v>
      </c>
      <c r="M700" s="25"/>
      <c r="N700" s="25"/>
      <c r="O700" s="26" t="s">
        <v>3491</v>
      </c>
      <c r="P700" s="27" t="s">
        <v>3492</v>
      </c>
      <c r="Q700" s="27" t="s">
        <v>100</v>
      </c>
      <c r="R700" s="64" t="s">
        <v>39</v>
      </c>
      <c r="S700" s="29"/>
      <c r="T700" s="1"/>
    </row>
    <row r="701" spans="1:34" x14ac:dyDescent="0.3">
      <c r="A701" s="16">
        <v>696</v>
      </c>
      <c r="B701" s="17" t="s">
        <v>3493</v>
      </c>
      <c r="C701" s="18" t="s">
        <v>3494</v>
      </c>
      <c r="D701" s="19">
        <v>46017</v>
      </c>
      <c r="E701" s="49"/>
      <c r="F701" s="49"/>
      <c r="G701" s="20"/>
      <c r="H701" s="20"/>
      <c r="I701" s="21">
        <v>77.884399999999999</v>
      </c>
      <c r="J701" s="22">
        <f>ROUND(I701*H701,2)</f>
        <v>0</v>
      </c>
      <c r="K701" s="23" t="e">
        <f>ROUND(G701/J701,4)</f>
        <v>#DIV/0!</v>
      </c>
      <c r="L701" s="24" t="e">
        <f>1-K701</f>
        <v>#DIV/0!</v>
      </c>
      <c r="M701" s="25" t="s">
        <v>3495</v>
      </c>
      <c r="N701" s="25" t="s">
        <v>3496</v>
      </c>
      <c r="O701" s="26" t="s">
        <v>3497</v>
      </c>
      <c r="P701" s="27" t="s">
        <v>45</v>
      </c>
      <c r="Q701" s="27" t="s">
        <v>25</v>
      </c>
      <c r="R701" s="21" t="s">
        <v>26</v>
      </c>
      <c r="S701" s="29">
        <v>609</v>
      </c>
      <c r="T701" s="1"/>
    </row>
    <row r="702" spans="1:34" x14ac:dyDescent="0.3">
      <c r="A702" s="16">
        <v>697</v>
      </c>
      <c r="B702" s="17" t="s">
        <v>3498</v>
      </c>
      <c r="C702" s="18" t="s">
        <v>3499</v>
      </c>
      <c r="D702" s="19">
        <v>46017</v>
      </c>
      <c r="E702" s="49"/>
      <c r="F702" s="49"/>
      <c r="G702" s="20"/>
      <c r="H702" s="20"/>
      <c r="I702" s="21">
        <v>77.884399999999999</v>
      </c>
      <c r="J702" s="22">
        <f>ROUND(I702*H702,2)</f>
        <v>0</v>
      </c>
      <c r="K702" s="23" t="e">
        <f>ROUND(G702/J702,4)</f>
        <v>#DIV/0!</v>
      </c>
      <c r="L702" s="24" t="e">
        <f>1-K702</f>
        <v>#DIV/0!</v>
      </c>
      <c r="M702" s="25" t="s">
        <v>3500</v>
      </c>
      <c r="N702" s="25" t="s">
        <v>3501</v>
      </c>
      <c r="O702" s="26" t="s">
        <v>3502</v>
      </c>
      <c r="P702" s="27" t="s">
        <v>38</v>
      </c>
      <c r="Q702" s="27" t="s">
        <v>25</v>
      </c>
      <c r="R702" s="21" t="s">
        <v>26</v>
      </c>
      <c r="S702" s="29">
        <v>610</v>
      </c>
      <c r="T702" s="1"/>
    </row>
    <row r="703" spans="1:34" x14ac:dyDescent="0.3">
      <c r="A703" s="16">
        <v>698</v>
      </c>
      <c r="B703" s="17" t="s">
        <v>3503</v>
      </c>
      <c r="C703" s="18" t="s">
        <v>3504</v>
      </c>
      <c r="D703" s="19">
        <v>46017</v>
      </c>
      <c r="E703" s="49"/>
      <c r="F703" s="49"/>
      <c r="G703" s="20"/>
      <c r="H703" s="20"/>
      <c r="I703" s="21">
        <v>77.884399999999999</v>
      </c>
      <c r="J703" s="22">
        <f>ROUND(I703*H703,2)</f>
        <v>0</v>
      </c>
      <c r="K703" s="23" t="e">
        <f>ROUND(G703/J703,4)</f>
        <v>#DIV/0!</v>
      </c>
      <c r="L703" s="24" t="e">
        <f>1-K703</f>
        <v>#DIV/0!</v>
      </c>
      <c r="M703" s="25" t="s">
        <v>3505</v>
      </c>
      <c r="N703" s="25" t="s">
        <v>3506</v>
      </c>
      <c r="O703" s="26" t="s">
        <v>3507</v>
      </c>
      <c r="P703" s="27" t="s">
        <v>2107</v>
      </c>
      <c r="Q703" s="27" t="s">
        <v>25</v>
      </c>
      <c r="R703" s="21" t="s">
        <v>26</v>
      </c>
      <c r="S703" s="29">
        <v>611</v>
      </c>
      <c r="T703" s="1"/>
    </row>
    <row r="704" spans="1:34" x14ac:dyDescent="0.3">
      <c r="A704" s="16">
        <v>699</v>
      </c>
      <c r="B704" s="17" t="s">
        <v>3508</v>
      </c>
      <c r="C704" s="18" t="s">
        <v>3509</v>
      </c>
      <c r="D704" s="19">
        <v>46017</v>
      </c>
      <c r="E704" s="49"/>
      <c r="F704" s="49"/>
      <c r="G704" s="20"/>
      <c r="H704" s="20"/>
      <c r="I704" s="21">
        <v>77.884399999999999</v>
      </c>
      <c r="J704" s="22">
        <f>ROUND(I704*H704,2)</f>
        <v>0</v>
      </c>
      <c r="K704" s="23" t="e">
        <f>ROUND(G704/J704,4)</f>
        <v>#DIV/0!</v>
      </c>
      <c r="L704" s="24" t="e">
        <f>1-K704</f>
        <v>#DIV/0!</v>
      </c>
      <c r="M704" s="25" t="s">
        <v>3510</v>
      </c>
      <c r="N704" s="25" t="s">
        <v>3511</v>
      </c>
      <c r="O704" s="26" t="s">
        <v>3512</v>
      </c>
      <c r="P704" s="27" t="s">
        <v>146</v>
      </c>
      <c r="Q704" s="27" t="s">
        <v>25</v>
      </c>
      <c r="R704" s="21" t="s">
        <v>26</v>
      </c>
      <c r="S704" s="29">
        <v>612</v>
      </c>
      <c r="T704" s="1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</row>
    <row r="705" spans="1:34" x14ac:dyDescent="0.3">
      <c r="A705" s="16">
        <v>700</v>
      </c>
      <c r="B705" s="17" t="s">
        <v>3513</v>
      </c>
      <c r="C705" s="18" t="s">
        <v>3514</v>
      </c>
      <c r="D705" s="19">
        <v>46017</v>
      </c>
      <c r="E705" s="49"/>
      <c r="F705" s="49"/>
      <c r="G705" s="20"/>
      <c r="H705" s="20"/>
      <c r="I705" s="21">
        <v>77.884399999999999</v>
      </c>
      <c r="J705" s="22">
        <f>ROUND(I705*H705,2)</f>
        <v>0</v>
      </c>
      <c r="K705" s="23" t="e">
        <f>ROUND(G705/J705,4)</f>
        <v>#DIV/0!</v>
      </c>
      <c r="L705" s="24" t="e">
        <f>1-K705</f>
        <v>#DIV/0!</v>
      </c>
      <c r="M705" s="25" t="s">
        <v>3515</v>
      </c>
      <c r="N705" s="25" t="s">
        <v>3516</v>
      </c>
      <c r="O705" s="26" t="s">
        <v>3517</v>
      </c>
      <c r="P705" s="27" t="s">
        <v>123</v>
      </c>
      <c r="Q705" s="27" t="s">
        <v>25</v>
      </c>
      <c r="R705" s="21" t="s">
        <v>39</v>
      </c>
      <c r="S705" s="29">
        <v>613</v>
      </c>
      <c r="T705" s="1"/>
    </row>
    <row r="706" spans="1:34" x14ac:dyDescent="0.3">
      <c r="A706" s="16">
        <v>701</v>
      </c>
      <c r="B706" s="17" t="s">
        <v>3518</v>
      </c>
      <c r="C706" s="18" t="s">
        <v>3519</v>
      </c>
      <c r="D706" s="19">
        <v>46017</v>
      </c>
      <c r="E706" s="49"/>
      <c r="F706" s="49"/>
      <c r="G706" s="20"/>
      <c r="H706" s="20"/>
      <c r="I706" s="21">
        <v>77.884399999999999</v>
      </c>
      <c r="J706" s="22">
        <f>ROUND(I706*H706,2)</f>
        <v>0</v>
      </c>
      <c r="K706" s="23" t="e">
        <f>ROUND(G706/J706,4)</f>
        <v>#DIV/0!</v>
      </c>
      <c r="L706" s="24" t="e">
        <f>1-K706</f>
        <v>#DIV/0!</v>
      </c>
      <c r="M706" s="25" t="s">
        <v>3520</v>
      </c>
      <c r="N706" s="25" t="s">
        <v>3521</v>
      </c>
      <c r="O706" s="26" t="s">
        <v>3522</v>
      </c>
      <c r="P706" s="27" t="s">
        <v>38</v>
      </c>
      <c r="Q706" s="27" t="s">
        <v>25</v>
      </c>
      <c r="R706" s="21" t="s">
        <v>26</v>
      </c>
      <c r="S706" s="29">
        <v>614</v>
      </c>
      <c r="T706" s="1"/>
    </row>
    <row r="707" spans="1:34" x14ac:dyDescent="0.3">
      <c r="A707" s="16">
        <v>702</v>
      </c>
      <c r="B707" s="17" t="s">
        <v>3523</v>
      </c>
      <c r="C707" s="18" t="s">
        <v>3524</v>
      </c>
      <c r="D707" s="19">
        <v>46017</v>
      </c>
      <c r="E707" s="49"/>
      <c r="F707" s="49"/>
      <c r="G707" s="20"/>
      <c r="H707" s="20"/>
      <c r="I707" s="21">
        <v>77.884399999999999</v>
      </c>
      <c r="J707" s="22">
        <f>ROUND(I707*H707,2)</f>
        <v>0</v>
      </c>
      <c r="K707" s="23" t="e">
        <f>ROUND(G707/J707,4)</f>
        <v>#DIV/0!</v>
      </c>
      <c r="L707" s="24" t="e">
        <f>1-K707</f>
        <v>#DIV/0!</v>
      </c>
      <c r="M707" s="25" t="s">
        <v>3525</v>
      </c>
      <c r="N707" s="25" t="s">
        <v>3526</v>
      </c>
      <c r="O707" s="26" t="s">
        <v>3527</v>
      </c>
      <c r="P707" s="27"/>
      <c r="Q707" s="27"/>
      <c r="R707" s="21" t="s">
        <v>39</v>
      </c>
      <c r="S707" s="29">
        <v>615</v>
      </c>
      <c r="T707" s="1"/>
    </row>
    <row r="708" spans="1:34" x14ac:dyDescent="0.3">
      <c r="A708" s="31">
        <v>703</v>
      </c>
      <c r="B708" s="32" t="s">
        <v>3528</v>
      </c>
      <c r="C708" s="33" t="s">
        <v>3529</v>
      </c>
      <c r="D708" s="19">
        <v>46017</v>
      </c>
      <c r="E708" s="49"/>
      <c r="F708" s="49"/>
      <c r="G708" s="20"/>
      <c r="H708" s="20"/>
      <c r="I708" s="21">
        <v>77.884399999999999</v>
      </c>
      <c r="J708" s="22">
        <f>ROUND(I708*H708,2)</f>
        <v>0</v>
      </c>
      <c r="K708" s="23" t="e">
        <f>ROUND(G708/J708,4)</f>
        <v>#DIV/0!</v>
      </c>
      <c r="L708" s="24" t="e">
        <f>1-K708</f>
        <v>#DIV/0!</v>
      </c>
      <c r="M708" s="25" t="s">
        <v>3530</v>
      </c>
      <c r="N708" s="25" t="s">
        <v>3531</v>
      </c>
      <c r="O708" s="26" t="s">
        <v>3532</v>
      </c>
      <c r="P708" s="27" t="s">
        <v>1048</v>
      </c>
      <c r="Q708" s="27" t="s">
        <v>25</v>
      </c>
      <c r="R708" s="21" t="s">
        <v>39</v>
      </c>
      <c r="S708" s="29">
        <v>616</v>
      </c>
      <c r="T708" s="1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</row>
    <row r="709" spans="1:34" x14ac:dyDescent="0.3">
      <c r="A709" s="31">
        <v>704</v>
      </c>
      <c r="B709" s="26" t="s">
        <v>3533</v>
      </c>
      <c r="C709" s="27" t="s">
        <v>3534</v>
      </c>
      <c r="D709" s="19">
        <v>46017</v>
      </c>
      <c r="E709" s="49"/>
      <c r="F709" s="49"/>
      <c r="G709" s="20"/>
      <c r="H709" s="20"/>
      <c r="I709" s="21">
        <v>77.884399999999999</v>
      </c>
      <c r="J709" s="22">
        <f>ROUND(I709*H709,2)</f>
        <v>0</v>
      </c>
      <c r="K709" s="23" t="e">
        <f>ROUND(G709/J709,4)</f>
        <v>#DIV/0!</v>
      </c>
      <c r="L709" s="24" t="e">
        <f>1-K709</f>
        <v>#DIV/0!</v>
      </c>
      <c r="M709" s="25"/>
      <c r="N709" s="25"/>
      <c r="O709" s="26" t="s">
        <v>3535</v>
      </c>
      <c r="P709" s="27" t="s">
        <v>820</v>
      </c>
      <c r="Q709" s="27" t="s">
        <v>25</v>
      </c>
      <c r="R709" s="21"/>
      <c r="S709" s="29"/>
      <c r="T709" s="1"/>
    </row>
    <row r="710" spans="1:34" x14ac:dyDescent="0.3">
      <c r="A710" s="16">
        <v>705</v>
      </c>
      <c r="B710" s="17" t="s">
        <v>3536</v>
      </c>
      <c r="C710" s="18" t="s">
        <v>3537</v>
      </c>
      <c r="D710" s="19">
        <v>46017</v>
      </c>
      <c r="E710" s="49"/>
      <c r="F710" s="49"/>
      <c r="G710" s="20"/>
      <c r="H710" s="20"/>
      <c r="I710" s="21">
        <v>77.884399999999999</v>
      </c>
      <c r="J710" s="22">
        <f>ROUND(I710*H710,2)</f>
        <v>0</v>
      </c>
      <c r="K710" s="23" t="e">
        <f>ROUND(G710/J710,4)</f>
        <v>#DIV/0!</v>
      </c>
      <c r="L710" s="24" t="e">
        <f>1-K710</f>
        <v>#DIV/0!</v>
      </c>
      <c r="M710" s="25" t="s">
        <v>3538</v>
      </c>
      <c r="N710" s="25" t="s">
        <v>3539</v>
      </c>
      <c r="O710" s="26" t="s">
        <v>3540</v>
      </c>
      <c r="P710" s="27" t="s">
        <v>918</v>
      </c>
      <c r="Q710" s="27" t="s">
        <v>25</v>
      </c>
      <c r="R710" s="21" t="s">
        <v>39</v>
      </c>
      <c r="S710" s="29">
        <v>617</v>
      </c>
      <c r="T710" s="1"/>
    </row>
    <row r="711" spans="1:34" x14ac:dyDescent="0.3">
      <c r="A711" s="16">
        <v>706</v>
      </c>
      <c r="B711" s="17" t="s">
        <v>3541</v>
      </c>
      <c r="C711" s="34" t="s">
        <v>3542</v>
      </c>
      <c r="D711" s="19">
        <v>46017</v>
      </c>
      <c r="E711" s="49"/>
      <c r="F711" s="49"/>
      <c r="G711" s="20"/>
      <c r="H711" s="20"/>
      <c r="I711" s="21">
        <v>77.884399999999999</v>
      </c>
      <c r="J711" s="22">
        <f>ROUND(I711*H711,2)</f>
        <v>0</v>
      </c>
      <c r="K711" s="23" t="e">
        <f>ROUND(G711/J711,4)</f>
        <v>#DIV/0!</v>
      </c>
      <c r="L711" s="24" t="e">
        <f>1-K711</f>
        <v>#DIV/0!</v>
      </c>
      <c r="M711" s="25" t="s">
        <v>3543</v>
      </c>
      <c r="N711" s="25" t="s">
        <v>3544</v>
      </c>
      <c r="O711" s="26" t="s">
        <v>3545</v>
      </c>
      <c r="P711" s="27" t="s">
        <v>2731</v>
      </c>
      <c r="Q711" s="27" t="s">
        <v>25</v>
      </c>
      <c r="R711" s="21" t="s">
        <v>39</v>
      </c>
      <c r="S711" s="29">
        <v>618</v>
      </c>
      <c r="T711" s="1"/>
    </row>
    <row r="712" spans="1:34" x14ac:dyDescent="0.3">
      <c r="A712" s="16">
        <v>707</v>
      </c>
      <c r="B712" s="17" t="s">
        <v>3546</v>
      </c>
      <c r="C712" s="18" t="s">
        <v>3547</v>
      </c>
      <c r="D712" s="19">
        <v>46017</v>
      </c>
      <c r="E712" s="49"/>
      <c r="F712" s="49"/>
      <c r="G712" s="20"/>
      <c r="H712" s="20"/>
      <c r="I712" s="21">
        <v>77.884399999999999</v>
      </c>
      <c r="J712" s="22">
        <f>ROUND(I712*H712,2)</f>
        <v>0</v>
      </c>
      <c r="K712" s="23" t="e">
        <f>ROUND(G712/J712,4)</f>
        <v>#DIV/0!</v>
      </c>
      <c r="L712" s="24" t="e">
        <f>1-K712</f>
        <v>#DIV/0!</v>
      </c>
      <c r="M712" s="25" t="s">
        <v>3548</v>
      </c>
      <c r="N712" s="25" t="s">
        <v>3549</v>
      </c>
      <c r="O712" s="26" t="s">
        <v>3550</v>
      </c>
      <c r="P712" s="27" t="s">
        <v>3551</v>
      </c>
      <c r="Q712" s="27" t="s">
        <v>25</v>
      </c>
      <c r="R712" s="21" t="s">
        <v>26</v>
      </c>
      <c r="S712" s="29">
        <v>619</v>
      </c>
      <c r="T712" s="1"/>
    </row>
    <row r="713" spans="1:34" x14ac:dyDescent="0.3">
      <c r="A713" s="16">
        <v>708</v>
      </c>
      <c r="B713" s="17" t="s">
        <v>3552</v>
      </c>
      <c r="C713" s="18" t="s">
        <v>3553</v>
      </c>
      <c r="D713" s="19">
        <v>46017</v>
      </c>
      <c r="E713" s="49"/>
      <c r="F713" s="49"/>
      <c r="G713" s="20"/>
      <c r="H713" s="20"/>
      <c r="I713" s="21">
        <v>77.884399999999999</v>
      </c>
      <c r="J713" s="22">
        <f>ROUND(I713*H713,2)</f>
        <v>0</v>
      </c>
      <c r="K713" s="23" t="e">
        <f>ROUND(G713/J713,4)</f>
        <v>#DIV/0!</v>
      </c>
      <c r="L713" s="24" t="e">
        <f>1-K713</f>
        <v>#DIV/0!</v>
      </c>
      <c r="M713" s="25" t="s">
        <v>3554</v>
      </c>
      <c r="N713" s="25" t="s">
        <v>3555</v>
      </c>
      <c r="O713" s="26" t="s">
        <v>3556</v>
      </c>
      <c r="P713" s="27" t="s">
        <v>687</v>
      </c>
      <c r="Q713" s="27" t="s">
        <v>25</v>
      </c>
      <c r="R713" s="64" t="s">
        <v>39</v>
      </c>
      <c r="S713" s="29">
        <v>620</v>
      </c>
      <c r="T713" s="1"/>
    </row>
    <row r="714" spans="1:34" x14ac:dyDescent="0.3">
      <c r="A714" s="16">
        <v>709</v>
      </c>
      <c r="B714" s="17" t="s">
        <v>3557</v>
      </c>
      <c r="C714" s="34" t="s">
        <v>3558</v>
      </c>
      <c r="D714" s="19">
        <v>46017</v>
      </c>
      <c r="E714" s="49"/>
      <c r="F714" s="49"/>
      <c r="G714" s="20"/>
      <c r="H714" s="20"/>
      <c r="I714" s="21">
        <v>77.884399999999999</v>
      </c>
      <c r="J714" s="22">
        <f>ROUND(I714*H714,2)</f>
        <v>0</v>
      </c>
      <c r="K714" s="23" t="e">
        <f>ROUND(G714/J714,4)</f>
        <v>#DIV/0!</v>
      </c>
      <c r="L714" s="24" t="e">
        <f>1-K714</f>
        <v>#DIV/0!</v>
      </c>
      <c r="M714" s="25" t="s">
        <v>3559</v>
      </c>
      <c r="N714" s="25" t="s">
        <v>3560</v>
      </c>
      <c r="O714" s="26" t="s">
        <v>3561</v>
      </c>
      <c r="P714" s="27" t="s">
        <v>174</v>
      </c>
      <c r="Q714" s="27" t="s">
        <v>25</v>
      </c>
      <c r="R714" s="21" t="s">
        <v>39</v>
      </c>
      <c r="S714" s="29">
        <v>621</v>
      </c>
      <c r="T714" s="1"/>
    </row>
    <row r="715" spans="1:34" x14ac:dyDescent="0.3">
      <c r="A715" s="31">
        <v>710</v>
      </c>
      <c r="B715" s="32" t="s">
        <v>3562</v>
      </c>
      <c r="C715" s="33" t="s">
        <v>3563</v>
      </c>
      <c r="D715" s="19">
        <v>46017</v>
      </c>
      <c r="E715" s="49"/>
      <c r="F715" s="49"/>
      <c r="G715" s="20"/>
      <c r="H715" s="20"/>
      <c r="I715" s="21">
        <v>77.884399999999999</v>
      </c>
      <c r="J715" s="22">
        <f>ROUND(I715*H715,2)</f>
        <v>0</v>
      </c>
      <c r="K715" s="23" t="e">
        <f>ROUND(G715/J715,4)</f>
        <v>#DIV/0!</v>
      </c>
      <c r="L715" s="24" t="e">
        <f>1-K715</f>
        <v>#DIV/0!</v>
      </c>
      <c r="M715" s="25" t="s">
        <v>3564</v>
      </c>
      <c r="N715" s="25" t="s">
        <v>3565</v>
      </c>
      <c r="O715" s="26" t="s">
        <v>3566</v>
      </c>
      <c r="P715" s="27" t="s">
        <v>3567</v>
      </c>
      <c r="Q715" s="27" t="s">
        <v>25</v>
      </c>
      <c r="R715" s="21" t="s">
        <v>26</v>
      </c>
      <c r="S715" s="29">
        <v>622</v>
      </c>
      <c r="T715" s="1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</row>
    <row r="716" spans="1:34" x14ac:dyDescent="0.3">
      <c r="A716" s="16">
        <v>711</v>
      </c>
      <c r="B716" s="17" t="s">
        <v>3568</v>
      </c>
      <c r="C716" s="18" t="s">
        <v>3569</v>
      </c>
      <c r="D716" s="19">
        <v>46017</v>
      </c>
      <c r="E716" s="49"/>
      <c r="F716" s="49"/>
      <c r="G716" s="20"/>
      <c r="H716" s="20"/>
      <c r="I716" s="21">
        <v>77.884399999999999</v>
      </c>
      <c r="J716" s="22">
        <f>ROUND(I716*H716,2)</f>
        <v>0</v>
      </c>
      <c r="K716" s="23" t="e">
        <f>ROUND(G716/J716,4)</f>
        <v>#DIV/0!</v>
      </c>
      <c r="L716" s="24" t="e">
        <f>1-K716</f>
        <v>#DIV/0!</v>
      </c>
      <c r="M716" s="25" t="s">
        <v>3570</v>
      </c>
      <c r="N716" s="25" t="s">
        <v>3571</v>
      </c>
      <c r="O716" s="26" t="s">
        <v>3572</v>
      </c>
      <c r="P716" s="27" t="s">
        <v>3551</v>
      </c>
      <c r="Q716" s="27" t="s">
        <v>25</v>
      </c>
      <c r="R716" s="21" t="s">
        <v>39</v>
      </c>
      <c r="S716" s="29">
        <v>623</v>
      </c>
      <c r="T716" s="1"/>
    </row>
    <row r="717" spans="1:34" x14ac:dyDescent="0.3">
      <c r="A717" s="31">
        <v>712</v>
      </c>
      <c r="B717" s="32" t="s">
        <v>3573</v>
      </c>
      <c r="C717" s="33" t="s">
        <v>3574</v>
      </c>
      <c r="D717" s="19">
        <v>46017</v>
      </c>
      <c r="E717" s="49"/>
      <c r="F717" s="49"/>
      <c r="G717" s="20"/>
      <c r="H717" s="20"/>
      <c r="I717" s="21">
        <v>77.884399999999999</v>
      </c>
      <c r="J717" s="22">
        <f>ROUND(I717*H717,2)</f>
        <v>0</v>
      </c>
      <c r="K717" s="23" t="e">
        <f>ROUND(G717/J717,4)</f>
        <v>#DIV/0!</v>
      </c>
      <c r="L717" s="24" t="e">
        <f>1-K717</f>
        <v>#DIV/0!</v>
      </c>
      <c r="M717" s="25" t="s">
        <v>3575</v>
      </c>
      <c r="N717" s="25" t="s">
        <v>3576</v>
      </c>
      <c r="O717" s="26" t="s">
        <v>3577</v>
      </c>
      <c r="P717" s="27" t="s">
        <v>3383</v>
      </c>
      <c r="Q717" s="27" t="s">
        <v>25</v>
      </c>
      <c r="R717" s="64" t="s">
        <v>39</v>
      </c>
      <c r="S717" s="29">
        <v>624</v>
      </c>
      <c r="T717" s="1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</row>
    <row r="718" spans="1:34" x14ac:dyDescent="0.3">
      <c r="A718" s="16">
        <v>713</v>
      </c>
      <c r="B718" s="17" t="s">
        <v>3578</v>
      </c>
      <c r="C718" s="18" t="s">
        <v>3579</v>
      </c>
      <c r="D718" s="19">
        <v>46017</v>
      </c>
      <c r="E718" s="49"/>
      <c r="F718" s="49"/>
      <c r="G718" s="20"/>
      <c r="H718" s="20"/>
      <c r="I718" s="21">
        <v>77.884399999999999</v>
      </c>
      <c r="J718" s="22">
        <f>ROUND(I718*H718,2)</f>
        <v>0</v>
      </c>
      <c r="K718" s="23" t="e">
        <f>ROUND(G718/J718,4)</f>
        <v>#DIV/0!</v>
      </c>
      <c r="L718" s="24" t="e">
        <f>1-K718</f>
        <v>#DIV/0!</v>
      </c>
      <c r="M718" s="25" t="s">
        <v>3580</v>
      </c>
      <c r="N718" s="25" t="s">
        <v>3581</v>
      </c>
      <c r="O718" s="26" t="s">
        <v>3582</v>
      </c>
      <c r="P718" s="27" t="s">
        <v>414</v>
      </c>
      <c r="Q718" s="27" t="s">
        <v>89</v>
      </c>
      <c r="R718" s="21" t="s">
        <v>39</v>
      </c>
      <c r="S718" s="29">
        <v>625</v>
      </c>
      <c r="T718" s="1"/>
    </row>
    <row r="719" spans="1:34" x14ac:dyDescent="0.3">
      <c r="A719" s="16">
        <v>714</v>
      </c>
      <c r="B719" s="17" t="s">
        <v>3583</v>
      </c>
      <c r="C719" s="18" t="s">
        <v>3584</v>
      </c>
      <c r="D719" s="19">
        <v>46017</v>
      </c>
      <c r="E719" s="49"/>
      <c r="F719" s="49"/>
      <c r="G719" s="20"/>
      <c r="H719" s="20"/>
      <c r="I719" s="21">
        <v>77.884399999999999</v>
      </c>
      <c r="J719" s="22">
        <f>ROUND(I719*H719,2)</f>
        <v>0</v>
      </c>
      <c r="K719" s="23" t="e">
        <f>ROUND(G719/J719,4)</f>
        <v>#DIV/0!</v>
      </c>
      <c r="L719" s="24" t="e">
        <f>1-K719</f>
        <v>#DIV/0!</v>
      </c>
      <c r="M719" s="25" t="s">
        <v>3585</v>
      </c>
      <c r="N719" s="25" t="s">
        <v>3586</v>
      </c>
      <c r="O719" s="26" t="s">
        <v>3587</v>
      </c>
      <c r="P719" s="27" t="s">
        <v>51</v>
      </c>
      <c r="Q719" s="27" t="s">
        <v>25</v>
      </c>
      <c r="R719" s="64" t="s">
        <v>39</v>
      </c>
      <c r="S719" s="29">
        <v>626</v>
      </c>
      <c r="T719" s="1"/>
    </row>
    <row r="720" spans="1:34" x14ac:dyDescent="0.3">
      <c r="A720" s="16">
        <v>715</v>
      </c>
      <c r="B720" s="17" t="s">
        <v>3588</v>
      </c>
      <c r="C720" s="18" t="s">
        <v>3589</v>
      </c>
      <c r="D720" s="19">
        <v>46017</v>
      </c>
      <c r="E720" s="49"/>
      <c r="F720" s="49"/>
      <c r="G720" s="20"/>
      <c r="H720" s="20"/>
      <c r="I720" s="21">
        <v>77.884399999999999</v>
      </c>
      <c r="J720" s="22">
        <f>ROUND(I720*H720,2)</f>
        <v>0</v>
      </c>
      <c r="K720" s="23" t="e">
        <f>ROUND(G720/J720,4)</f>
        <v>#DIV/0!</v>
      </c>
      <c r="L720" s="24" t="e">
        <f>1-K720</f>
        <v>#DIV/0!</v>
      </c>
      <c r="M720" s="25" t="s">
        <v>3590</v>
      </c>
      <c r="N720" s="25" t="s">
        <v>3591</v>
      </c>
      <c r="O720" s="26" t="s">
        <v>3592</v>
      </c>
      <c r="P720" s="27" t="s">
        <v>1326</v>
      </c>
      <c r="Q720" s="27" t="s">
        <v>25</v>
      </c>
      <c r="R720" s="21" t="s">
        <v>26</v>
      </c>
      <c r="S720" s="29">
        <v>627</v>
      </c>
      <c r="T720" s="1"/>
    </row>
    <row r="721" spans="1:34" x14ac:dyDescent="0.3">
      <c r="A721" s="16">
        <v>716</v>
      </c>
      <c r="B721" s="17" t="s">
        <v>3593</v>
      </c>
      <c r="C721" s="18" t="s">
        <v>3594</v>
      </c>
      <c r="D721" s="19">
        <v>46017</v>
      </c>
      <c r="E721" s="49"/>
      <c r="F721" s="49"/>
      <c r="G721" s="20"/>
      <c r="H721" s="20"/>
      <c r="I721" s="21">
        <v>77.884399999999999</v>
      </c>
      <c r="J721" s="22">
        <f>ROUND(I721*H721,2)</f>
        <v>0</v>
      </c>
      <c r="K721" s="23" t="e">
        <f>ROUND(G721/J721,4)</f>
        <v>#DIV/0!</v>
      </c>
      <c r="L721" s="24" t="e">
        <f>1-K721</f>
        <v>#DIV/0!</v>
      </c>
      <c r="M721" s="25" t="s">
        <v>3595</v>
      </c>
      <c r="N721" s="25" t="s">
        <v>3596</v>
      </c>
      <c r="O721" s="26" t="s">
        <v>3597</v>
      </c>
      <c r="P721" s="27" t="s">
        <v>68</v>
      </c>
      <c r="Q721" s="27" t="s">
        <v>25</v>
      </c>
      <c r="R721" s="21" t="s">
        <v>26</v>
      </c>
      <c r="S721" s="29">
        <v>628</v>
      </c>
      <c r="T721" s="1"/>
    </row>
    <row r="722" spans="1:34" x14ac:dyDescent="0.3">
      <c r="A722" s="16">
        <v>717</v>
      </c>
      <c r="B722" s="17" t="s">
        <v>3598</v>
      </c>
      <c r="C722" s="18" t="s">
        <v>3599</v>
      </c>
      <c r="D722" s="19">
        <v>46017</v>
      </c>
      <c r="E722" s="49"/>
      <c r="F722" s="49"/>
      <c r="G722" s="20"/>
      <c r="H722" s="20"/>
      <c r="I722" s="21">
        <v>77.884399999999999</v>
      </c>
      <c r="J722" s="22">
        <f>ROUND(I722*H722,2)</f>
        <v>0</v>
      </c>
      <c r="K722" s="23" t="e">
        <f>ROUND(G722/J722,4)</f>
        <v>#DIV/0!</v>
      </c>
      <c r="L722" s="24" t="e">
        <f>1-K722</f>
        <v>#DIV/0!</v>
      </c>
      <c r="M722" s="25" t="s">
        <v>3600</v>
      </c>
      <c r="N722" s="25" t="s">
        <v>3601</v>
      </c>
      <c r="O722" s="26" t="s">
        <v>3602</v>
      </c>
      <c r="P722" s="27" t="s">
        <v>2278</v>
      </c>
      <c r="Q722" s="27" t="s">
        <v>25</v>
      </c>
      <c r="R722" s="21" t="s">
        <v>39</v>
      </c>
      <c r="S722" s="29">
        <v>629</v>
      </c>
      <c r="T722" s="1"/>
    </row>
    <row r="723" spans="1:34" x14ac:dyDescent="0.3">
      <c r="A723" s="16">
        <v>718</v>
      </c>
      <c r="B723" s="17" t="s">
        <v>3603</v>
      </c>
      <c r="C723" s="18" t="s">
        <v>3604</v>
      </c>
      <c r="D723" s="19">
        <v>46017</v>
      </c>
      <c r="E723" s="49"/>
      <c r="F723" s="49"/>
      <c r="G723" s="20"/>
      <c r="H723" s="20"/>
      <c r="I723" s="21">
        <v>77.884399999999999</v>
      </c>
      <c r="J723" s="22">
        <f>ROUND(I723*H723,2)</f>
        <v>0</v>
      </c>
      <c r="K723" s="23" t="e">
        <f>ROUND(G723/J723,4)</f>
        <v>#DIV/0!</v>
      </c>
      <c r="L723" s="24" t="e">
        <f>1-K723</f>
        <v>#DIV/0!</v>
      </c>
      <c r="M723" s="25" t="s">
        <v>3605</v>
      </c>
      <c r="N723" s="25" t="s">
        <v>3606</v>
      </c>
      <c r="O723" s="26" t="s">
        <v>3607</v>
      </c>
      <c r="P723" s="27" t="s">
        <v>32</v>
      </c>
      <c r="Q723" s="27" t="s">
        <v>25</v>
      </c>
      <c r="R723" s="21" t="s">
        <v>39</v>
      </c>
      <c r="S723" s="29">
        <v>630</v>
      </c>
      <c r="T723" s="1"/>
    </row>
    <row r="724" spans="1:34" x14ac:dyDescent="0.3">
      <c r="A724" s="16">
        <v>719</v>
      </c>
      <c r="B724" s="17" t="s">
        <v>3608</v>
      </c>
      <c r="C724" s="18" t="s">
        <v>3609</v>
      </c>
      <c r="D724" s="19">
        <v>46017</v>
      </c>
      <c r="E724" s="49"/>
      <c r="F724" s="49"/>
      <c r="G724" s="20"/>
      <c r="H724" s="20"/>
      <c r="I724" s="21">
        <v>77.884399999999999</v>
      </c>
      <c r="J724" s="22">
        <f>ROUND(I724*H724,2)</f>
        <v>0</v>
      </c>
      <c r="K724" s="23" t="e">
        <f>ROUND(G724/J724,4)</f>
        <v>#DIV/0!</v>
      </c>
      <c r="L724" s="24" t="e">
        <f>1-K724</f>
        <v>#DIV/0!</v>
      </c>
      <c r="M724" s="25" t="s">
        <v>3610</v>
      </c>
      <c r="N724" s="25" t="s">
        <v>3611</v>
      </c>
      <c r="O724" s="26" t="s">
        <v>3612</v>
      </c>
      <c r="P724" s="27" t="s">
        <v>622</v>
      </c>
      <c r="Q724" s="27" t="s">
        <v>25</v>
      </c>
      <c r="R724" s="21" t="s">
        <v>26</v>
      </c>
      <c r="S724" s="29">
        <v>631</v>
      </c>
      <c r="T724" s="1"/>
    </row>
    <row r="725" spans="1:34" x14ac:dyDescent="0.3">
      <c r="A725" s="16">
        <v>720</v>
      </c>
      <c r="B725" s="17" t="s">
        <v>3613</v>
      </c>
      <c r="C725" s="18" t="s">
        <v>3614</v>
      </c>
      <c r="D725" s="19">
        <v>46017</v>
      </c>
      <c r="E725" s="49"/>
      <c r="F725" s="49"/>
      <c r="G725" s="20"/>
      <c r="H725" s="20"/>
      <c r="I725" s="21">
        <v>77.884399999999999</v>
      </c>
      <c r="J725" s="22">
        <f>ROUND(I725*H725,2)</f>
        <v>0</v>
      </c>
      <c r="K725" s="23" t="e">
        <f>ROUND(G725/J725,4)</f>
        <v>#DIV/0!</v>
      </c>
      <c r="L725" s="24" t="e">
        <f>1-K725</f>
        <v>#DIV/0!</v>
      </c>
      <c r="M725" s="25" t="s">
        <v>3615</v>
      </c>
      <c r="N725" s="25" t="s">
        <v>3616</v>
      </c>
      <c r="O725" s="26" t="s">
        <v>3617</v>
      </c>
      <c r="P725" s="27" t="s">
        <v>1248</v>
      </c>
      <c r="Q725" s="27" t="s">
        <v>25</v>
      </c>
      <c r="R725" s="21" t="s">
        <v>39</v>
      </c>
      <c r="S725" s="29">
        <v>632</v>
      </c>
      <c r="T725" s="1"/>
    </row>
    <row r="726" spans="1:34" x14ac:dyDescent="0.3">
      <c r="A726" s="16">
        <v>721</v>
      </c>
      <c r="B726" s="17" t="s">
        <v>3618</v>
      </c>
      <c r="C726" s="18" t="s">
        <v>3619</v>
      </c>
      <c r="D726" s="19">
        <v>46017</v>
      </c>
      <c r="E726" s="49"/>
      <c r="F726" s="49"/>
      <c r="G726" s="20"/>
      <c r="H726" s="20"/>
      <c r="I726" s="21">
        <v>77.884399999999999</v>
      </c>
      <c r="J726" s="22">
        <f>ROUND(I726*H726,2)</f>
        <v>0</v>
      </c>
      <c r="K726" s="23" t="e">
        <f>ROUND(G726/J726,4)</f>
        <v>#DIV/0!</v>
      </c>
      <c r="L726" s="24" t="e">
        <f>1-K726</f>
        <v>#DIV/0!</v>
      </c>
      <c r="M726" s="25" t="s">
        <v>3620</v>
      </c>
      <c r="N726" s="25" t="s">
        <v>3621</v>
      </c>
      <c r="O726" s="26" t="s">
        <v>3622</v>
      </c>
      <c r="P726" s="27" t="s">
        <v>140</v>
      </c>
      <c r="Q726" s="27" t="s">
        <v>25</v>
      </c>
      <c r="R726" s="21" t="s">
        <v>39</v>
      </c>
      <c r="S726" s="29">
        <v>633</v>
      </c>
      <c r="T726" s="1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</row>
    <row r="727" spans="1:34" x14ac:dyDescent="0.3">
      <c r="A727" s="16">
        <v>722</v>
      </c>
      <c r="B727" s="17" t="s">
        <v>3623</v>
      </c>
      <c r="C727" s="18" t="s">
        <v>3624</v>
      </c>
      <c r="D727" s="19">
        <v>46017</v>
      </c>
      <c r="E727" s="49"/>
      <c r="F727" s="49"/>
      <c r="G727" s="20"/>
      <c r="H727" s="20"/>
      <c r="I727" s="21">
        <v>77.884399999999999</v>
      </c>
      <c r="J727" s="22">
        <f>ROUND(I727*H727,2)</f>
        <v>0</v>
      </c>
      <c r="K727" s="23" t="e">
        <f>ROUND(G727/J727,4)</f>
        <v>#DIV/0!</v>
      </c>
      <c r="L727" s="24" t="e">
        <f>1-K727</f>
        <v>#DIV/0!</v>
      </c>
      <c r="M727" s="25" t="s">
        <v>3625</v>
      </c>
      <c r="N727" s="25" t="s">
        <v>3626</v>
      </c>
      <c r="O727" s="26" t="s">
        <v>3627</v>
      </c>
      <c r="P727" s="27" t="s">
        <v>174</v>
      </c>
      <c r="Q727" s="27" t="s">
        <v>25</v>
      </c>
      <c r="R727" s="21" t="s">
        <v>26</v>
      </c>
      <c r="S727" s="29">
        <v>634</v>
      </c>
      <c r="T727" s="1"/>
    </row>
    <row r="728" spans="1:34" x14ac:dyDescent="0.3">
      <c r="A728" s="16">
        <v>723</v>
      </c>
      <c r="B728" s="17" t="s">
        <v>3628</v>
      </c>
      <c r="C728" s="18" t="s">
        <v>3629</v>
      </c>
      <c r="D728" s="19">
        <v>46017</v>
      </c>
      <c r="E728" s="49"/>
      <c r="F728" s="49"/>
      <c r="G728" s="20"/>
      <c r="H728" s="20"/>
      <c r="I728" s="21">
        <v>77.884399999999999</v>
      </c>
      <c r="J728" s="22">
        <f>ROUND(I728*H728,2)</f>
        <v>0</v>
      </c>
      <c r="K728" s="23" t="e">
        <f>ROUND(G728/J728,4)</f>
        <v>#DIV/0!</v>
      </c>
      <c r="L728" s="24" t="e">
        <f>1-K728</f>
        <v>#DIV/0!</v>
      </c>
      <c r="M728" s="25" t="s">
        <v>3630</v>
      </c>
      <c r="N728" s="25" t="s">
        <v>3631</v>
      </c>
      <c r="O728" s="26" t="s">
        <v>3632</v>
      </c>
      <c r="P728" s="27" t="s">
        <v>1100</v>
      </c>
      <c r="Q728" s="27" t="s">
        <v>25</v>
      </c>
      <c r="R728" s="21" t="s">
        <v>39</v>
      </c>
      <c r="S728" s="29">
        <v>635</v>
      </c>
      <c r="T728" s="1"/>
    </row>
    <row r="729" spans="1:34" x14ac:dyDescent="0.3">
      <c r="A729" s="16">
        <v>724</v>
      </c>
      <c r="B729" s="17" t="s">
        <v>3633</v>
      </c>
      <c r="C729" s="18" t="s">
        <v>3634</v>
      </c>
      <c r="D729" s="19">
        <v>46017</v>
      </c>
      <c r="E729" s="49"/>
      <c r="F729" s="49"/>
      <c r="G729" s="20"/>
      <c r="H729" s="20"/>
      <c r="I729" s="21">
        <v>77.884399999999999</v>
      </c>
      <c r="J729" s="22">
        <f>ROUND(I729*H729,2)</f>
        <v>0</v>
      </c>
      <c r="K729" s="23" t="e">
        <f>ROUND(G729/J729,4)</f>
        <v>#DIV/0!</v>
      </c>
      <c r="L729" s="24" t="e">
        <f>1-K729</f>
        <v>#DIV/0!</v>
      </c>
      <c r="M729" s="25" t="s">
        <v>3635</v>
      </c>
      <c r="N729" s="25" t="s">
        <v>3636</v>
      </c>
      <c r="O729" s="26" t="s">
        <v>3637</v>
      </c>
      <c r="P729" s="27" t="s">
        <v>903</v>
      </c>
      <c r="Q729" s="27" t="s">
        <v>25</v>
      </c>
      <c r="R729" s="21" t="s">
        <v>39</v>
      </c>
      <c r="S729" s="29">
        <v>636</v>
      </c>
      <c r="T729" s="1"/>
    </row>
    <row r="730" spans="1:34" x14ac:dyDescent="0.3">
      <c r="A730" s="16">
        <v>725</v>
      </c>
      <c r="B730" s="17" t="s">
        <v>3638</v>
      </c>
      <c r="C730" s="18" t="s">
        <v>3639</v>
      </c>
      <c r="D730" s="19">
        <v>46017</v>
      </c>
      <c r="E730" s="49"/>
      <c r="F730" s="49"/>
      <c r="G730" s="20"/>
      <c r="H730" s="20"/>
      <c r="I730" s="21">
        <v>77.884399999999999</v>
      </c>
      <c r="J730" s="22">
        <f>ROUND(I730*H730,2)</f>
        <v>0</v>
      </c>
      <c r="K730" s="23" t="e">
        <f>ROUND(G730/J730,4)</f>
        <v>#DIV/0!</v>
      </c>
      <c r="L730" s="24" t="e">
        <f>1-K730</f>
        <v>#DIV/0!</v>
      </c>
      <c r="M730" s="25" t="s">
        <v>3640</v>
      </c>
      <c r="N730" s="25" t="s">
        <v>3641</v>
      </c>
      <c r="O730" s="26" t="s">
        <v>3642</v>
      </c>
      <c r="P730" s="27" t="s">
        <v>1375</v>
      </c>
      <c r="Q730" s="27" t="s">
        <v>25</v>
      </c>
      <c r="R730" s="21" t="s">
        <v>26</v>
      </c>
      <c r="S730" s="29">
        <v>637</v>
      </c>
      <c r="T730" s="1"/>
    </row>
    <row r="731" spans="1:34" x14ac:dyDescent="0.3">
      <c r="A731" s="16">
        <v>726</v>
      </c>
      <c r="B731" s="17" t="s">
        <v>3643</v>
      </c>
      <c r="C731" s="18" t="s">
        <v>3644</v>
      </c>
      <c r="D731" s="19">
        <v>46017</v>
      </c>
      <c r="E731" s="49"/>
      <c r="F731" s="49"/>
      <c r="G731" s="20"/>
      <c r="H731" s="20"/>
      <c r="I731" s="21">
        <v>77.884399999999999</v>
      </c>
      <c r="J731" s="22">
        <f>ROUND(I731*H731,2)</f>
        <v>0</v>
      </c>
      <c r="K731" s="23" t="e">
        <f>ROUND(G731/J731,4)</f>
        <v>#DIV/0!</v>
      </c>
      <c r="L731" s="24" t="e">
        <f>1-K731</f>
        <v>#DIV/0!</v>
      </c>
      <c r="M731" s="25" t="s">
        <v>3645</v>
      </c>
      <c r="N731" s="25" t="s">
        <v>3646</v>
      </c>
      <c r="O731" s="26" t="s">
        <v>3647</v>
      </c>
      <c r="P731" s="27" t="s">
        <v>38</v>
      </c>
      <c r="Q731" s="27" t="s">
        <v>25</v>
      </c>
      <c r="R731" s="21" t="s">
        <v>26</v>
      </c>
      <c r="S731" s="29">
        <v>638</v>
      </c>
      <c r="T731" s="1"/>
    </row>
    <row r="732" spans="1:34" x14ac:dyDescent="0.3">
      <c r="A732" s="16">
        <v>727</v>
      </c>
      <c r="B732" s="17" t="s">
        <v>3648</v>
      </c>
      <c r="C732" s="18" t="s">
        <v>3649</v>
      </c>
      <c r="D732" s="19">
        <v>46017</v>
      </c>
      <c r="E732" s="49"/>
      <c r="F732" s="49"/>
      <c r="G732" s="20"/>
      <c r="H732" s="20"/>
      <c r="I732" s="21">
        <v>77.884399999999999</v>
      </c>
      <c r="J732" s="22">
        <f>ROUND(I732*H732,2)</f>
        <v>0</v>
      </c>
      <c r="K732" s="23" t="e">
        <f>ROUND(G732/J732,4)</f>
        <v>#DIV/0!</v>
      </c>
      <c r="L732" s="24" t="e">
        <f>1-K732</f>
        <v>#DIV/0!</v>
      </c>
      <c r="M732" s="25" t="s">
        <v>3650</v>
      </c>
      <c r="N732" s="25" t="s">
        <v>3651</v>
      </c>
      <c r="O732" s="26" t="s">
        <v>3652</v>
      </c>
      <c r="P732" s="27" t="s">
        <v>1519</v>
      </c>
      <c r="Q732" s="27" t="s">
        <v>25</v>
      </c>
      <c r="R732" s="64" t="s">
        <v>26</v>
      </c>
      <c r="S732" s="29">
        <v>639</v>
      </c>
      <c r="T732" s="1"/>
    </row>
    <row r="733" spans="1:34" x14ac:dyDescent="0.3">
      <c r="A733" s="16">
        <v>728</v>
      </c>
      <c r="B733" s="17" t="s">
        <v>3653</v>
      </c>
      <c r="C733" s="18" t="s">
        <v>3654</v>
      </c>
      <c r="D733" s="19">
        <v>46017</v>
      </c>
      <c r="E733" s="49"/>
      <c r="F733" s="49"/>
      <c r="G733" s="20"/>
      <c r="H733" s="20"/>
      <c r="I733" s="21">
        <v>77.884399999999999</v>
      </c>
      <c r="J733" s="22">
        <f>ROUND(I733*H733,2)</f>
        <v>0</v>
      </c>
      <c r="K733" s="23" t="e">
        <f>ROUND(G733/J733,4)</f>
        <v>#DIV/0!</v>
      </c>
      <c r="L733" s="24" t="e">
        <f>1-K733</f>
        <v>#DIV/0!</v>
      </c>
      <c r="M733" s="25" t="s">
        <v>3655</v>
      </c>
      <c r="N733" s="25" t="s">
        <v>3656</v>
      </c>
      <c r="O733" s="26" t="s">
        <v>3657</v>
      </c>
      <c r="P733" s="27" t="s">
        <v>32</v>
      </c>
      <c r="Q733" s="27" t="s">
        <v>25</v>
      </c>
      <c r="R733" s="21" t="s">
        <v>39</v>
      </c>
      <c r="S733" s="29">
        <v>640</v>
      </c>
      <c r="T733" s="1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</row>
    <row r="734" spans="1:34" x14ac:dyDescent="0.3">
      <c r="A734" s="16">
        <v>729</v>
      </c>
      <c r="B734" s="17" t="s">
        <v>3658</v>
      </c>
      <c r="C734" s="18" t="s">
        <v>3659</v>
      </c>
      <c r="D734" s="19">
        <v>46017</v>
      </c>
      <c r="E734" s="49"/>
      <c r="F734" s="49"/>
      <c r="G734" s="20"/>
      <c r="H734" s="20"/>
      <c r="I734" s="21">
        <v>77.884399999999999</v>
      </c>
      <c r="J734" s="22">
        <f>ROUND(I734*H734,2)</f>
        <v>0</v>
      </c>
      <c r="K734" s="23" t="e">
        <f>ROUND(G734/J734,4)</f>
        <v>#DIV/0!</v>
      </c>
      <c r="L734" s="24" t="e">
        <f>1-K734</f>
        <v>#DIV/0!</v>
      </c>
      <c r="M734" s="25" t="s">
        <v>3660</v>
      </c>
      <c r="N734" s="25" t="s">
        <v>3661</v>
      </c>
      <c r="O734" s="26" t="s">
        <v>3662</v>
      </c>
      <c r="P734" s="27" t="s">
        <v>345</v>
      </c>
      <c r="Q734" s="27" t="s">
        <v>25</v>
      </c>
      <c r="R734" s="21" t="s">
        <v>26</v>
      </c>
      <c r="S734" s="29">
        <v>641</v>
      </c>
      <c r="T734" s="1"/>
    </row>
    <row r="735" spans="1:34" x14ac:dyDescent="0.3">
      <c r="A735" s="16">
        <v>730</v>
      </c>
      <c r="B735" s="17" t="s">
        <v>3663</v>
      </c>
      <c r="C735" s="34" t="s">
        <v>3664</v>
      </c>
      <c r="D735" s="19">
        <v>46017</v>
      </c>
      <c r="E735" s="49"/>
      <c r="F735" s="49"/>
      <c r="G735" s="20"/>
      <c r="H735" s="20"/>
      <c r="I735" s="21">
        <v>77.884399999999999</v>
      </c>
      <c r="J735" s="22">
        <f>ROUND(I735*H735,2)</f>
        <v>0</v>
      </c>
      <c r="K735" s="23" t="e">
        <f>ROUND(G735/J735,4)</f>
        <v>#DIV/0!</v>
      </c>
      <c r="L735" s="24" t="e">
        <f>1-K735</f>
        <v>#DIV/0!</v>
      </c>
      <c r="M735" s="25" t="s">
        <v>3665</v>
      </c>
      <c r="N735" s="25" t="s">
        <v>3666</v>
      </c>
      <c r="O735" s="26" t="s">
        <v>3667</v>
      </c>
      <c r="P735" s="27" t="s">
        <v>345</v>
      </c>
      <c r="Q735" s="27" t="s">
        <v>445</v>
      </c>
      <c r="R735" s="21" t="s">
        <v>26</v>
      </c>
      <c r="S735" s="29">
        <v>642</v>
      </c>
      <c r="T735" s="1"/>
    </row>
    <row r="736" spans="1:34" x14ac:dyDescent="0.3">
      <c r="A736" s="16">
        <v>731</v>
      </c>
      <c r="B736" s="17" t="s">
        <v>3668</v>
      </c>
      <c r="C736" s="18" t="s">
        <v>3669</v>
      </c>
      <c r="D736" s="19">
        <v>46017</v>
      </c>
      <c r="E736" s="49"/>
      <c r="F736" s="49"/>
      <c r="G736" s="20"/>
      <c r="H736" s="20"/>
      <c r="I736" s="21">
        <v>77.884399999999999</v>
      </c>
      <c r="J736" s="22">
        <f>ROUND(I736*H736,2)</f>
        <v>0</v>
      </c>
      <c r="K736" s="23" t="e">
        <f>ROUND(G736/J736,4)</f>
        <v>#DIV/0!</v>
      </c>
      <c r="L736" s="24" t="e">
        <f>1-K736</f>
        <v>#DIV/0!</v>
      </c>
      <c r="M736" s="25" t="s">
        <v>3670</v>
      </c>
      <c r="N736" s="25" t="s">
        <v>3671</v>
      </c>
      <c r="O736" s="26" t="s">
        <v>3672</v>
      </c>
      <c r="P736" s="27" t="s">
        <v>1100</v>
      </c>
      <c r="Q736" s="27" t="s">
        <v>25</v>
      </c>
      <c r="R736" s="21" t="s">
        <v>39</v>
      </c>
      <c r="S736" s="29">
        <v>643</v>
      </c>
      <c r="T736" s="1"/>
    </row>
    <row r="737" spans="1:34" x14ac:dyDescent="0.3">
      <c r="A737" s="16">
        <v>732</v>
      </c>
      <c r="B737" s="17" t="s">
        <v>3673</v>
      </c>
      <c r="C737" s="18" t="s">
        <v>3674</v>
      </c>
      <c r="D737" s="19">
        <v>46017</v>
      </c>
      <c r="E737" s="49"/>
      <c r="F737" s="49"/>
      <c r="G737" s="20"/>
      <c r="H737" s="20"/>
      <c r="I737" s="21">
        <v>77.884399999999999</v>
      </c>
      <c r="J737" s="22">
        <f>ROUND(I737*H737,2)</f>
        <v>0</v>
      </c>
      <c r="K737" s="23" t="e">
        <f>ROUND(G737/J737,4)</f>
        <v>#DIV/0!</v>
      </c>
      <c r="L737" s="24" t="e">
        <f>1-K737</f>
        <v>#DIV/0!</v>
      </c>
      <c r="M737" s="25" t="s">
        <v>3675</v>
      </c>
      <c r="N737" s="25" t="s">
        <v>3676</v>
      </c>
      <c r="O737" s="26" t="s">
        <v>3677</v>
      </c>
      <c r="P737" s="27" t="s">
        <v>3678</v>
      </c>
      <c r="Q737" s="27" t="s">
        <v>25</v>
      </c>
      <c r="R737" s="21" t="s">
        <v>26</v>
      </c>
      <c r="S737" s="29">
        <v>644</v>
      </c>
      <c r="T737" s="1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</row>
    <row r="738" spans="1:34" x14ac:dyDescent="0.3">
      <c r="A738" s="16">
        <v>733</v>
      </c>
      <c r="B738" s="17" t="s">
        <v>3679</v>
      </c>
      <c r="C738" s="18" t="s">
        <v>3680</v>
      </c>
      <c r="D738" s="19">
        <v>46017</v>
      </c>
      <c r="E738" s="49"/>
      <c r="F738" s="49"/>
      <c r="G738" s="20"/>
      <c r="H738" s="20"/>
      <c r="I738" s="21">
        <v>77.884399999999999</v>
      </c>
      <c r="J738" s="22">
        <f>ROUND(I738*H738,2)</f>
        <v>0</v>
      </c>
      <c r="K738" s="23" t="e">
        <f>ROUND(G738/J738,4)</f>
        <v>#DIV/0!</v>
      </c>
      <c r="L738" s="24" t="e">
        <f>1-K738</f>
        <v>#DIV/0!</v>
      </c>
      <c r="M738" s="25" t="s">
        <v>3681</v>
      </c>
      <c r="N738" s="25" t="s">
        <v>3682</v>
      </c>
      <c r="O738" s="26" t="s">
        <v>3683</v>
      </c>
      <c r="P738" s="27" t="s">
        <v>74</v>
      </c>
      <c r="Q738" s="27" t="s">
        <v>25</v>
      </c>
      <c r="R738" s="21" t="s">
        <v>39</v>
      </c>
      <c r="S738" s="29">
        <v>645</v>
      </c>
      <c r="T738" s="1"/>
    </row>
    <row r="739" spans="1:34" x14ac:dyDescent="0.3">
      <c r="A739" s="16">
        <v>734</v>
      </c>
      <c r="B739" s="17" t="s">
        <v>3684</v>
      </c>
      <c r="C739" s="18" t="s">
        <v>3685</v>
      </c>
      <c r="D739" s="19">
        <v>46017</v>
      </c>
      <c r="E739" s="49"/>
      <c r="F739" s="49"/>
      <c r="G739" s="20"/>
      <c r="H739" s="20"/>
      <c r="I739" s="21">
        <v>77.884399999999999</v>
      </c>
      <c r="J739" s="22">
        <f>ROUND(I739*H739,2)</f>
        <v>0</v>
      </c>
      <c r="K739" s="23" t="e">
        <f>ROUND(G739/J739,4)</f>
        <v>#DIV/0!</v>
      </c>
      <c r="L739" s="24" t="e">
        <f>1-K739</f>
        <v>#DIV/0!</v>
      </c>
      <c r="M739" s="25" t="s">
        <v>3686</v>
      </c>
      <c r="N739" s="25" t="s">
        <v>3687</v>
      </c>
      <c r="O739" s="26" t="s">
        <v>3688</v>
      </c>
      <c r="P739" s="27" t="s">
        <v>189</v>
      </c>
      <c r="Q739" s="27" t="s">
        <v>25</v>
      </c>
      <c r="R739" s="64" t="s">
        <v>26</v>
      </c>
      <c r="S739" s="29">
        <v>646</v>
      </c>
      <c r="T739" s="1"/>
    </row>
    <row r="740" spans="1:34" x14ac:dyDescent="0.3">
      <c r="A740" s="16">
        <v>735</v>
      </c>
      <c r="B740" s="17" t="s">
        <v>3689</v>
      </c>
      <c r="C740" s="18" t="s">
        <v>3690</v>
      </c>
      <c r="D740" s="19">
        <v>46017</v>
      </c>
      <c r="E740" s="49"/>
      <c r="F740" s="49"/>
      <c r="G740" s="20"/>
      <c r="H740" s="20"/>
      <c r="I740" s="21">
        <v>77.884399999999999</v>
      </c>
      <c r="J740" s="22">
        <f>ROUND(I740*H740,2)</f>
        <v>0</v>
      </c>
      <c r="K740" s="23" t="e">
        <f>ROUND(G740/J740,4)</f>
        <v>#DIV/0!</v>
      </c>
      <c r="L740" s="24" t="e">
        <f>1-K740</f>
        <v>#DIV/0!</v>
      </c>
      <c r="M740" s="25" t="s">
        <v>3691</v>
      </c>
      <c r="N740" s="25" t="s">
        <v>3692</v>
      </c>
      <c r="O740" s="26" t="s">
        <v>3693</v>
      </c>
      <c r="P740" s="27" t="s">
        <v>308</v>
      </c>
      <c r="Q740" s="27" t="s">
        <v>25</v>
      </c>
      <c r="R740" s="21" t="s">
        <v>39</v>
      </c>
      <c r="S740" s="29">
        <v>647</v>
      </c>
      <c r="T740" s="1"/>
    </row>
    <row r="741" spans="1:34" x14ac:dyDescent="0.3">
      <c r="A741" s="16">
        <v>736</v>
      </c>
      <c r="B741" s="17" t="s">
        <v>3694</v>
      </c>
      <c r="C741" s="18" t="s">
        <v>3695</v>
      </c>
      <c r="D741" s="19">
        <v>46017</v>
      </c>
      <c r="E741" s="49"/>
      <c r="F741" s="49"/>
      <c r="G741" s="20"/>
      <c r="H741" s="20"/>
      <c r="I741" s="21">
        <v>77.884399999999999</v>
      </c>
      <c r="J741" s="22">
        <f>ROUND(I741*H741,2)</f>
        <v>0</v>
      </c>
      <c r="K741" s="23" t="e">
        <f>ROUND(G741/J741,4)</f>
        <v>#DIV/0!</v>
      </c>
      <c r="L741" s="24" t="e">
        <f>1-K741</f>
        <v>#DIV/0!</v>
      </c>
      <c r="M741" s="25" t="s">
        <v>3696</v>
      </c>
      <c r="N741" s="25" t="s">
        <v>3697</v>
      </c>
      <c r="O741" s="26" t="s">
        <v>3698</v>
      </c>
      <c r="P741" s="27" t="s">
        <v>24</v>
      </c>
      <c r="Q741" s="27" t="s">
        <v>25</v>
      </c>
      <c r="R741" s="21" t="s">
        <v>26</v>
      </c>
      <c r="S741" s="29">
        <v>648</v>
      </c>
      <c r="T741" s="1"/>
    </row>
    <row r="742" spans="1:34" x14ac:dyDescent="0.3">
      <c r="A742" s="31">
        <v>737</v>
      </c>
      <c r="B742" s="32" t="s">
        <v>3699</v>
      </c>
      <c r="C742" s="33" t="s">
        <v>3700</v>
      </c>
      <c r="D742" s="19">
        <v>46017</v>
      </c>
      <c r="E742" s="49"/>
      <c r="F742" s="49"/>
      <c r="G742" s="20"/>
      <c r="H742" s="20"/>
      <c r="I742" s="21">
        <v>77.884399999999999</v>
      </c>
      <c r="J742" s="22">
        <f>ROUND(I742*H742,2)</f>
        <v>0</v>
      </c>
      <c r="K742" s="23" t="e">
        <f>ROUND(G742/J742,4)</f>
        <v>#DIV/0!</v>
      </c>
      <c r="L742" s="24" t="e">
        <f>1-K742</f>
        <v>#DIV/0!</v>
      </c>
      <c r="M742" s="25" t="s">
        <v>3701</v>
      </c>
      <c r="N742" s="25" t="s">
        <v>3702</v>
      </c>
      <c r="O742" s="26" t="s">
        <v>3703</v>
      </c>
      <c r="P742" s="27" t="s">
        <v>3704</v>
      </c>
      <c r="Q742" s="27" t="s">
        <v>25</v>
      </c>
      <c r="R742" s="21" t="s">
        <v>26</v>
      </c>
      <c r="S742" s="29">
        <v>649</v>
      </c>
      <c r="T742" s="1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</row>
    <row r="743" spans="1:34" x14ac:dyDescent="0.3">
      <c r="A743" s="16">
        <v>738</v>
      </c>
      <c r="B743" s="17" t="s">
        <v>3705</v>
      </c>
      <c r="C743" s="18" t="s">
        <v>3706</v>
      </c>
      <c r="D743" s="19">
        <v>46017</v>
      </c>
      <c r="E743" s="49"/>
      <c r="F743" s="49"/>
      <c r="G743" s="20"/>
      <c r="H743" s="20"/>
      <c r="I743" s="21">
        <v>77.884399999999999</v>
      </c>
      <c r="J743" s="22">
        <f>ROUND(I743*H743,2)</f>
        <v>0</v>
      </c>
      <c r="K743" s="23" t="e">
        <f>ROUND(G743/J743,4)</f>
        <v>#DIV/0!</v>
      </c>
      <c r="L743" s="24" t="e">
        <f>1-K743</f>
        <v>#DIV/0!</v>
      </c>
      <c r="M743" s="25" t="s">
        <v>3707</v>
      </c>
      <c r="N743" s="25" t="s">
        <v>3708</v>
      </c>
      <c r="O743" s="26" t="s">
        <v>3709</v>
      </c>
      <c r="P743" s="27" t="s">
        <v>308</v>
      </c>
      <c r="Q743" s="27" t="s">
        <v>25</v>
      </c>
      <c r="R743" s="21" t="s">
        <v>39</v>
      </c>
      <c r="S743" s="29">
        <v>650</v>
      </c>
      <c r="T743" s="1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</row>
    <row r="744" spans="1:34" x14ac:dyDescent="0.3">
      <c r="A744" s="16">
        <v>739</v>
      </c>
      <c r="B744" s="17" t="s">
        <v>3710</v>
      </c>
      <c r="C744" s="18" t="s">
        <v>3711</v>
      </c>
      <c r="D744" s="19">
        <v>46017</v>
      </c>
      <c r="E744" s="49"/>
      <c r="F744" s="49"/>
      <c r="G744" s="20"/>
      <c r="H744" s="20"/>
      <c r="I744" s="21">
        <v>77.884399999999999</v>
      </c>
      <c r="J744" s="22">
        <f>ROUND(I744*H744,2)</f>
        <v>0</v>
      </c>
      <c r="K744" s="23" t="e">
        <f>ROUND(G744/J744,4)</f>
        <v>#DIV/0!</v>
      </c>
      <c r="L744" s="24" t="e">
        <f>1-K744</f>
        <v>#DIV/0!</v>
      </c>
      <c r="M744" s="25" t="s">
        <v>3712</v>
      </c>
      <c r="N744" s="25" t="s">
        <v>3713</v>
      </c>
      <c r="O744" s="26" t="s">
        <v>3714</v>
      </c>
      <c r="P744" s="27" t="s">
        <v>32</v>
      </c>
      <c r="Q744" s="27" t="s">
        <v>25</v>
      </c>
      <c r="R744" s="64" t="s">
        <v>26</v>
      </c>
      <c r="S744" s="29">
        <v>651</v>
      </c>
      <c r="T744" s="1"/>
    </row>
    <row r="745" spans="1:34" x14ac:dyDescent="0.3">
      <c r="A745" s="16">
        <v>740</v>
      </c>
      <c r="B745" s="17" t="s">
        <v>3715</v>
      </c>
      <c r="C745" s="18" t="s">
        <v>3716</v>
      </c>
      <c r="D745" s="19">
        <v>46017</v>
      </c>
      <c r="E745" s="49"/>
      <c r="F745" s="49"/>
      <c r="G745" s="20"/>
      <c r="H745" s="20"/>
      <c r="I745" s="21">
        <v>77.884399999999999</v>
      </c>
      <c r="J745" s="22">
        <f>ROUND(I745*H745,2)</f>
        <v>0</v>
      </c>
      <c r="K745" s="23" t="e">
        <f>ROUND(G745/J745,4)</f>
        <v>#DIV/0!</v>
      </c>
      <c r="L745" s="24" t="e">
        <f>1-K745</f>
        <v>#DIV/0!</v>
      </c>
      <c r="M745" s="25" t="s">
        <v>3717</v>
      </c>
      <c r="N745" s="25" t="s">
        <v>3718</v>
      </c>
      <c r="O745" s="26" t="s">
        <v>3719</v>
      </c>
      <c r="P745" s="27" t="s">
        <v>24</v>
      </c>
      <c r="Q745" s="27" t="s">
        <v>25</v>
      </c>
      <c r="R745" s="21" t="s">
        <v>26</v>
      </c>
      <c r="S745" s="29">
        <v>652</v>
      </c>
      <c r="T745" s="1"/>
    </row>
    <row r="746" spans="1:34" x14ac:dyDescent="0.3">
      <c r="A746" s="31">
        <v>741</v>
      </c>
      <c r="B746" s="26" t="s">
        <v>3720</v>
      </c>
      <c r="C746" s="27" t="s">
        <v>3721</v>
      </c>
      <c r="D746" s="19">
        <v>46017</v>
      </c>
      <c r="E746" s="49"/>
      <c r="F746" s="49"/>
      <c r="G746" s="20"/>
      <c r="H746" s="20"/>
      <c r="I746" s="21">
        <v>77.884399999999999</v>
      </c>
      <c r="J746" s="22">
        <f>ROUND(I746*H746,2)</f>
        <v>0</v>
      </c>
      <c r="K746" s="23" t="e">
        <f>ROUND(G746/J746,4)</f>
        <v>#DIV/0!</v>
      </c>
      <c r="L746" s="24" t="e">
        <f>1-K746</f>
        <v>#DIV/0!</v>
      </c>
      <c r="M746" s="25"/>
      <c r="N746" s="25"/>
      <c r="O746" s="26" t="s">
        <v>3722</v>
      </c>
      <c r="P746" s="27" t="s">
        <v>3723</v>
      </c>
      <c r="Q746" s="27" t="s">
        <v>25</v>
      </c>
      <c r="R746" s="64" t="s">
        <v>26</v>
      </c>
      <c r="S746" s="29"/>
      <c r="T746" s="1"/>
    </row>
    <row r="747" spans="1:34" x14ac:dyDescent="0.3">
      <c r="A747" s="16">
        <v>742</v>
      </c>
      <c r="B747" s="17" t="s">
        <v>3724</v>
      </c>
      <c r="C747" s="18" t="s">
        <v>3725</v>
      </c>
      <c r="D747" s="19">
        <v>46017</v>
      </c>
      <c r="E747" s="49"/>
      <c r="F747" s="49"/>
      <c r="G747" s="20"/>
      <c r="H747" s="20"/>
      <c r="I747" s="21">
        <v>77.884399999999999</v>
      </c>
      <c r="J747" s="22">
        <f>ROUND(I747*H747,2)</f>
        <v>0</v>
      </c>
      <c r="K747" s="23" t="e">
        <f>ROUND(G747/J747,4)</f>
        <v>#DIV/0!</v>
      </c>
      <c r="L747" s="24" t="e">
        <f>1-K747</f>
        <v>#DIV/0!</v>
      </c>
      <c r="M747" s="25" t="s">
        <v>3726</v>
      </c>
      <c r="N747" s="25" t="s">
        <v>3727</v>
      </c>
      <c r="O747" s="26" t="s">
        <v>3728</v>
      </c>
      <c r="P747" s="27" t="s">
        <v>687</v>
      </c>
      <c r="Q747" s="27" t="s">
        <v>445</v>
      </c>
      <c r="R747" s="21" t="s">
        <v>26</v>
      </c>
      <c r="S747" s="29">
        <v>653</v>
      </c>
      <c r="T747" s="1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</row>
    <row r="748" spans="1:34" x14ac:dyDescent="0.3">
      <c r="A748" s="16">
        <v>743</v>
      </c>
      <c r="B748" s="17" t="s">
        <v>3729</v>
      </c>
      <c r="C748" s="18" t="s">
        <v>3730</v>
      </c>
      <c r="D748" s="19">
        <v>46017</v>
      </c>
      <c r="E748" s="49"/>
      <c r="F748" s="49"/>
      <c r="G748" s="20"/>
      <c r="H748" s="20"/>
      <c r="I748" s="21">
        <v>77.884399999999999</v>
      </c>
      <c r="J748" s="22">
        <f>ROUND(I748*H748,2)</f>
        <v>0</v>
      </c>
      <c r="K748" s="23" t="e">
        <f>ROUND(G748/J748,4)</f>
        <v>#DIV/0!</v>
      </c>
      <c r="L748" s="24" t="e">
        <f>1-K748</f>
        <v>#DIV/0!</v>
      </c>
      <c r="M748" s="25" t="s">
        <v>3731</v>
      </c>
      <c r="N748" s="25" t="s">
        <v>3732</v>
      </c>
      <c r="O748" s="26" t="s">
        <v>3733</v>
      </c>
      <c r="P748" s="27" t="s">
        <v>32</v>
      </c>
      <c r="Q748" s="27" t="s">
        <v>445</v>
      </c>
      <c r="R748" s="21" t="s">
        <v>26</v>
      </c>
      <c r="S748" s="29">
        <v>654</v>
      </c>
      <c r="T748" s="1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</row>
    <row r="749" spans="1:34" x14ac:dyDescent="0.3">
      <c r="A749" s="16">
        <v>744</v>
      </c>
      <c r="B749" s="17" t="s">
        <v>3734</v>
      </c>
      <c r="C749" s="18" t="s">
        <v>3735</v>
      </c>
      <c r="D749" s="19">
        <v>46017</v>
      </c>
      <c r="E749" s="49"/>
      <c r="F749" s="49"/>
      <c r="G749" s="20"/>
      <c r="H749" s="20"/>
      <c r="I749" s="21">
        <v>77.884399999999999</v>
      </c>
      <c r="J749" s="22">
        <f>ROUND(I749*H749,2)</f>
        <v>0</v>
      </c>
      <c r="K749" s="23" t="e">
        <f>ROUND(G749/J749,4)</f>
        <v>#DIV/0!</v>
      </c>
      <c r="L749" s="24" t="e">
        <f>1-K749</f>
        <v>#DIV/0!</v>
      </c>
      <c r="M749" s="25" t="s">
        <v>3736</v>
      </c>
      <c r="N749" s="25" t="s">
        <v>3737</v>
      </c>
      <c r="O749" s="26" t="s">
        <v>3738</v>
      </c>
      <c r="P749" s="27" t="s">
        <v>918</v>
      </c>
      <c r="Q749" s="27" t="s">
        <v>445</v>
      </c>
      <c r="R749" s="64" t="s">
        <v>26</v>
      </c>
      <c r="S749" s="29">
        <v>655</v>
      </c>
      <c r="T749" s="1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</row>
    <row r="750" spans="1:34" x14ac:dyDescent="0.3">
      <c r="A750" s="16">
        <v>745</v>
      </c>
      <c r="B750" s="17" t="s">
        <v>3739</v>
      </c>
      <c r="C750" s="18" t="s">
        <v>3740</v>
      </c>
      <c r="D750" s="19">
        <v>46017</v>
      </c>
      <c r="E750" s="49"/>
      <c r="F750" s="49"/>
      <c r="G750" s="20"/>
      <c r="H750" s="20"/>
      <c r="I750" s="21">
        <v>77.884399999999999</v>
      </c>
      <c r="J750" s="22">
        <f>ROUND(I750*H750,2)</f>
        <v>0</v>
      </c>
      <c r="K750" s="23" t="e">
        <f>ROUND(G750/J750,4)</f>
        <v>#DIV/0!</v>
      </c>
      <c r="L750" s="24" t="e">
        <f>1-K750</f>
        <v>#DIV/0!</v>
      </c>
      <c r="M750" s="25" t="s">
        <v>3741</v>
      </c>
      <c r="N750" s="25" t="s">
        <v>3742</v>
      </c>
      <c r="O750" s="26" t="s">
        <v>3743</v>
      </c>
      <c r="P750" s="27" t="s">
        <v>32</v>
      </c>
      <c r="Q750" s="27" t="s">
        <v>445</v>
      </c>
      <c r="R750" s="64" t="s">
        <v>26</v>
      </c>
      <c r="S750" s="29">
        <v>656</v>
      </c>
      <c r="T750" s="1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</row>
    <row r="751" spans="1:34" x14ac:dyDescent="0.3">
      <c r="A751" s="16">
        <v>746</v>
      </c>
      <c r="B751" s="17" t="s">
        <v>3744</v>
      </c>
      <c r="C751" s="18" t="s">
        <v>3745</v>
      </c>
      <c r="D751" s="19">
        <v>46017</v>
      </c>
      <c r="E751" s="49"/>
      <c r="F751" s="49"/>
      <c r="G751" s="20"/>
      <c r="H751" s="20"/>
      <c r="I751" s="21">
        <v>77.884399999999999</v>
      </c>
      <c r="J751" s="22">
        <f>ROUND(I751*H751,2)</f>
        <v>0</v>
      </c>
      <c r="K751" s="23" t="e">
        <f>ROUND(G751/J751,4)</f>
        <v>#DIV/0!</v>
      </c>
      <c r="L751" s="24" t="e">
        <f>1-K751</f>
        <v>#DIV/0!</v>
      </c>
      <c r="M751" s="25" t="s">
        <v>3746</v>
      </c>
      <c r="N751" s="25" t="s">
        <v>3747</v>
      </c>
      <c r="O751" s="26" t="s">
        <v>3748</v>
      </c>
      <c r="P751" s="27" t="s">
        <v>68</v>
      </c>
      <c r="Q751" s="27" t="s">
        <v>445</v>
      </c>
      <c r="R751" s="64" t="s">
        <v>26</v>
      </c>
      <c r="S751" s="29">
        <v>657</v>
      </c>
      <c r="T751" s="1"/>
    </row>
    <row r="752" spans="1:34" x14ac:dyDescent="0.3">
      <c r="A752" s="16">
        <v>747</v>
      </c>
      <c r="B752" s="17" t="s">
        <v>3749</v>
      </c>
      <c r="C752" s="18" t="s">
        <v>3750</v>
      </c>
      <c r="D752" s="19">
        <v>46017</v>
      </c>
      <c r="E752" s="49"/>
      <c r="F752" s="49"/>
      <c r="G752" s="20"/>
      <c r="H752" s="20"/>
      <c r="I752" s="21">
        <v>77.884399999999999</v>
      </c>
      <c r="J752" s="22">
        <f>ROUND(I752*H752,2)</f>
        <v>0</v>
      </c>
      <c r="K752" s="23" t="e">
        <f>ROUND(G752/J752,4)</f>
        <v>#DIV/0!</v>
      </c>
      <c r="L752" s="24" t="e">
        <f>1-K752</f>
        <v>#DIV/0!</v>
      </c>
      <c r="M752" s="25" t="s">
        <v>3751</v>
      </c>
      <c r="N752" s="25" t="s">
        <v>3752</v>
      </c>
      <c r="O752" s="26" t="s">
        <v>3753</v>
      </c>
      <c r="P752" s="27" t="s">
        <v>580</v>
      </c>
      <c r="Q752" s="27" t="s">
        <v>445</v>
      </c>
      <c r="R752" s="64" t="s">
        <v>26</v>
      </c>
      <c r="S752" s="29">
        <v>658</v>
      </c>
      <c r="T752" s="1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</row>
    <row r="753" spans="1:34" x14ac:dyDescent="0.3">
      <c r="A753" s="16">
        <v>748</v>
      </c>
      <c r="B753" s="17" t="s">
        <v>3754</v>
      </c>
      <c r="C753" s="18" t="s">
        <v>3755</v>
      </c>
      <c r="D753" s="19">
        <v>46017</v>
      </c>
      <c r="E753" s="49"/>
      <c r="F753" s="49"/>
      <c r="G753" s="20"/>
      <c r="H753" s="20"/>
      <c r="I753" s="21">
        <v>77.884399999999999</v>
      </c>
      <c r="J753" s="22">
        <f>ROUND(I753*H753,2)</f>
        <v>0</v>
      </c>
      <c r="K753" s="23" t="e">
        <f>ROUND(G753/J753,4)</f>
        <v>#DIV/0!</v>
      </c>
      <c r="L753" s="24" t="e">
        <f>1-K753</f>
        <v>#DIV/0!</v>
      </c>
      <c r="M753" s="25" t="s">
        <v>3756</v>
      </c>
      <c r="N753" s="25" t="s">
        <v>3757</v>
      </c>
      <c r="O753" s="26" t="s">
        <v>3758</v>
      </c>
      <c r="P753" s="27" t="s">
        <v>580</v>
      </c>
      <c r="Q753" s="27" t="s">
        <v>445</v>
      </c>
      <c r="R753" s="64" t="s">
        <v>26</v>
      </c>
      <c r="S753" s="29">
        <v>659</v>
      </c>
      <c r="T753" s="1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</row>
    <row r="754" spans="1:34" x14ac:dyDescent="0.3">
      <c r="A754" s="16">
        <v>749</v>
      </c>
      <c r="B754" s="17" t="s">
        <v>3759</v>
      </c>
      <c r="C754" s="18" t="s">
        <v>3760</v>
      </c>
      <c r="D754" s="19">
        <v>46017</v>
      </c>
      <c r="E754" s="49"/>
      <c r="F754" s="49"/>
      <c r="G754" s="20"/>
      <c r="H754" s="20"/>
      <c r="I754" s="21">
        <v>77.884399999999999</v>
      </c>
      <c r="J754" s="22">
        <f>ROUND(I754*H754,2)</f>
        <v>0</v>
      </c>
      <c r="K754" s="23" t="e">
        <f>ROUND(G754/J754,4)</f>
        <v>#DIV/0!</v>
      </c>
      <c r="L754" s="24" t="e">
        <f>1-K754</f>
        <v>#DIV/0!</v>
      </c>
      <c r="M754" s="25" t="s">
        <v>3761</v>
      </c>
      <c r="N754" s="25" t="s">
        <v>3762</v>
      </c>
      <c r="O754" s="26" t="s">
        <v>3763</v>
      </c>
      <c r="P754" s="27" t="s">
        <v>24</v>
      </c>
      <c r="Q754" s="27" t="s">
        <v>3264</v>
      </c>
      <c r="R754" s="64" t="s">
        <v>26</v>
      </c>
      <c r="S754" s="29">
        <v>660</v>
      </c>
      <c r="T754" s="1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</row>
    <row r="755" spans="1:34" x14ac:dyDescent="0.3">
      <c r="A755" s="16">
        <v>750</v>
      </c>
      <c r="B755" s="17" t="s">
        <v>3764</v>
      </c>
      <c r="C755" s="18" t="s">
        <v>3765</v>
      </c>
      <c r="D755" s="19">
        <v>46017</v>
      </c>
      <c r="E755" s="49"/>
      <c r="F755" s="49"/>
      <c r="G755" s="20"/>
      <c r="H755" s="20"/>
      <c r="I755" s="21">
        <v>77.884399999999999</v>
      </c>
      <c r="J755" s="22">
        <f>ROUND(I755*H755,2)</f>
        <v>0</v>
      </c>
      <c r="K755" s="23" t="e">
        <f>ROUND(G755/J755,4)</f>
        <v>#DIV/0!</v>
      </c>
      <c r="L755" s="24" t="e">
        <f>1-K755</f>
        <v>#DIV/0!</v>
      </c>
      <c r="M755" s="25" t="s">
        <v>3766</v>
      </c>
      <c r="N755" s="25" t="s">
        <v>3767</v>
      </c>
      <c r="O755" s="26" t="s">
        <v>3768</v>
      </c>
      <c r="P755" s="27" t="s">
        <v>319</v>
      </c>
      <c r="Q755" s="27" t="s">
        <v>445</v>
      </c>
      <c r="R755" s="21" t="s">
        <v>26</v>
      </c>
      <c r="S755" s="29">
        <v>661</v>
      </c>
      <c r="T755" s="1"/>
    </row>
    <row r="756" spans="1:34" x14ac:dyDescent="0.3">
      <c r="A756" s="16">
        <v>751</v>
      </c>
      <c r="B756" s="17" t="s">
        <v>3769</v>
      </c>
      <c r="C756" s="18" t="s">
        <v>3770</v>
      </c>
      <c r="D756" s="19">
        <v>46017</v>
      </c>
      <c r="E756" s="49"/>
      <c r="F756" s="49"/>
      <c r="G756" s="20"/>
      <c r="H756" s="20"/>
      <c r="I756" s="21">
        <v>77.884399999999999</v>
      </c>
      <c r="J756" s="22">
        <f>ROUND(I756*H756,2)</f>
        <v>0</v>
      </c>
      <c r="K756" s="23" t="e">
        <f>ROUND(G756/J756,4)</f>
        <v>#DIV/0!</v>
      </c>
      <c r="L756" s="24" t="e">
        <f>1-K756</f>
        <v>#DIV/0!</v>
      </c>
      <c r="M756" s="25" t="s">
        <v>3771</v>
      </c>
      <c r="N756" s="25" t="s">
        <v>3772</v>
      </c>
      <c r="O756" s="26" t="s">
        <v>3773</v>
      </c>
      <c r="P756" s="27" t="s">
        <v>32</v>
      </c>
      <c r="Q756" s="27" t="s">
        <v>100</v>
      </c>
      <c r="R756" s="64" t="s">
        <v>26</v>
      </c>
      <c r="S756" s="29">
        <v>662</v>
      </c>
      <c r="T756" s="1"/>
    </row>
    <row r="757" spans="1:34" x14ac:dyDescent="0.3">
      <c r="A757" s="16">
        <v>752</v>
      </c>
      <c r="B757" s="17" t="s">
        <v>3774</v>
      </c>
      <c r="C757" s="18" t="s">
        <v>3775</v>
      </c>
      <c r="D757" s="19">
        <v>46017</v>
      </c>
      <c r="E757" s="49"/>
      <c r="F757" s="49"/>
      <c r="G757" s="20"/>
      <c r="H757" s="20"/>
      <c r="I757" s="21">
        <v>77.884399999999999</v>
      </c>
      <c r="J757" s="22">
        <f>ROUND(I757*H757,2)</f>
        <v>0</v>
      </c>
      <c r="K757" s="23" t="e">
        <f>ROUND(G757/J757,4)</f>
        <v>#DIV/0!</v>
      </c>
      <c r="L757" s="24" t="e">
        <f>1-K757</f>
        <v>#DIV/0!</v>
      </c>
      <c r="M757" s="25" t="s">
        <v>3776</v>
      </c>
      <c r="N757" s="25" t="s">
        <v>3777</v>
      </c>
      <c r="O757" s="26" t="s">
        <v>3778</v>
      </c>
      <c r="P757" s="27" t="s">
        <v>51</v>
      </c>
      <c r="Q757" s="27" t="s">
        <v>3779</v>
      </c>
      <c r="R757" s="21" t="s">
        <v>26</v>
      </c>
      <c r="S757" s="29">
        <v>663</v>
      </c>
      <c r="T757" s="1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</row>
    <row r="758" spans="1:34" x14ac:dyDescent="0.3">
      <c r="A758" s="16">
        <v>753</v>
      </c>
      <c r="B758" s="17" t="s">
        <v>3780</v>
      </c>
      <c r="C758" s="18" t="s">
        <v>3781</v>
      </c>
      <c r="D758" s="19">
        <v>46017</v>
      </c>
      <c r="E758" s="49"/>
      <c r="F758" s="49"/>
      <c r="G758" s="20"/>
      <c r="H758" s="20"/>
      <c r="I758" s="21">
        <v>77.884399999999999</v>
      </c>
      <c r="J758" s="22">
        <f>ROUND(I758*H758,2)</f>
        <v>0</v>
      </c>
      <c r="K758" s="23" t="e">
        <f>ROUND(G758/J758,4)</f>
        <v>#DIV/0!</v>
      </c>
      <c r="L758" s="24" t="e">
        <f>1-K758</f>
        <v>#DIV/0!</v>
      </c>
      <c r="M758" s="25" t="s">
        <v>3782</v>
      </c>
      <c r="N758" s="25" t="s">
        <v>3783</v>
      </c>
      <c r="O758" s="26" t="s">
        <v>3784</v>
      </c>
      <c r="P758" s="27" t="s">
        <v>903</v>
      </c>
      <c r="Q758" s="27" t="s">
        <v>3785</v>
      </c>
      <c r="R758" s="21" t="s">
        <v>26</v>
      </c>
      <c r="S758" s="29">
        <v>664</v>
      </c>
      <c r="T758" s="1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</row>
    <row r="759" spans="1:34" x14ac:dyDescent="0.3">
      <c r="A759" s="16">
        <v>754</v>
      </c>
      <c r="B759" s="17" t="s">
        <v>3786</v>
      </c>
      <c r="C759" s="18" t="s">
        <v>3787</v>
      </c>
      <c r="D759" s="19">
        <v>46017</v>
      </c>
      <c r="E759" s="49"/>
      <c r="F759" s="49"/>
      <c r="G759" s="20"/>
      <c r="H759" s="20"/>
      <c r="I759" s="21">
        <v>77.884399999999999</v>
      </c>
      <c r="J759" s="22">
        <f>ROUND(I759*H759,2)</f>
        <v>0</v>
      </c>
      <c r="K759" s="23" t="e">
        <f>ROUND(G759/J759,4)</f>
        <v>#DIV/0!</v>
      </c>
      <c r="L759" s="24" t="e">
        <f>1-K759</f>
        <v>#DIV/0!</v>
      </c>
      <c r="M759" s="25" t="s">
        <v>3788</v>
      </c>
      <c r="N759" s="25" t="s">
        <v>3789</v>
      </c>
      <c r="O759" s="26" t="s">
        <v>3790</v>
      </c>
      <c r="P759" s="27" t="s">
        <v>777</v>
      </c>
      <c r="Q759" s="27" t="s">
        <v>445</v>
      </c>
      <c r="R759" s="21" t="s">
        <v>26</v>
      </c>
      <c r="S759" s="29">
        <v>665</v>
      </c>
      <c r="T759" s="1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</row>
    <row r="760" spans="1:34" x14ac:dyDescent="0.3">
      <c r="A760" s="16">
        <v>755</v>
      </c>
      <c r="B760" s="17" t="s">
        <v>3791</v>
      </c>
      <c r="C760" s="18" t="s">
        <v>3792</v>
      </c>
      <c r="D760" s="19">
        <v>46017</v>
      </c>
      <c r="E760" s="49"/>
      <c r="F760" s="49"/>
      <c r="G760" s="20"/>
      <c r="H760" s="20"/>
      <c r="I760" s="21">
        <v>77.884399999999999</v>
      </c>
      <c r="J760" s="22">
        <f>ROUND(I760*H760,2)</f>
        <v>0</v>
      </c>
      <c r="K760" s="23" t="e">
        <f>ROUND(G760/J760,4)</f>
        <v>#DIV/0!</v>
      </c>
      <c r="L760" s="24" t="e">
        <f>1-K760</f>
        <v>#DIV/0!</v>
      </c>
      <c r="M760" s="25" t="s">
        <v>3793</v>
      </c>
      <c r="N760" s="25" t="s">
        <v>3794</v>
      </c>
      <c r="O760" s="26" t="s">
        <v>3795</v>
      </c>
      <c r="P760" s="27" t="s">
        <v>580</v>
      </c>
      <c r="Q760" s="27" t="s">
        <v>3779</v>
      </c>
      <c r="R760" s="64" t="s">
        <v>26</v>
      </c>
      <c r="S760" s="29">
        <v>666</v>
      </c>
      <c r="T760" s="1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</row>
    <row r="761" spans="1:34" x14ac:dyDescent="0.3">
      <c r="A761" s="16">
        <v>756</v>
      </c>
      <c r="B761" s="70" t="s">
        <v>3796</v>
      </c>
      <c r="C761" s="18" t="s">
        <v>3797</v>
      </c>
      <c r="D761" s="19">
        <v>46017</v>
      </c>
      <c r="E761" s="49"/>
      <c r="F761" s="49"/>
      <c r="G761" s="20"/>
      <c r="H761" s="20"/>
      <c r="I761" s="21">
        <v>77.884399999999999</v>
      </c>
      <c r="J761" s="22">
        <f>ROUND(I761*H761,2)</f>
        <v>0</v>
      </c>
      <c r="K761" s="23" t="e">
        <f>ROUND(G761/J761,4)</f>
        <v>#DIV/0!</v>
      </c>
      <c r="L761" s="24" t="e">
        <f>1-K761</f>
        <v>#DIV/0!</v>
      </c>
      <c r="M761" s="25" t="s">
        <v>3798</v>
      </c>
      <c r="N761" s="25" t="s">
        <v>3799</v>
      </c>
      <c r="O761" s="26" t="s">
        <v>3800</v>
      </c>
      <c r="P761" s="27" t="s">
        <v>687</v>
      </c>
      <c r="Q761" s="27" t="s">
        <v>445</v>
      </c>
      <c r="R761" s="64" t="s">
        <v>26</v>
      </c>
      <c r="S761" s="29">
        <v>667</v>
      </c>
      <c r="T761" s="1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</row>
    <row r="762" spans="1:34" x14ac:dyDescent="0.3">
      <c r="A762" s="16">
        <v>757</v>
      </c>
      <c r="B762" s="70" t="s">
        <v>3801</v>
      </c>
      <c r="C762" s="18" t="s">
        <v>3802</v>
      </c>
      <c r="D762" s="19">
        <v>46017</v>
      </c>
      <c r="E762" s="49"/>
      <c r="F762" s="49"/>
      <c r="G762" s="20"/>
      <c r="H762" s="20"/>
      <c r="I762" s="21">
        <v>77.884399999999999</v>
      </c>
      <c r="J762" s="22">
        <f>ROUND(I762*H762,2)</f>
        <v>0</v>
      </c>
      <c r="K762" s="23" t="e">
        <f>ROUND(G762/J762,4)</f>
        <v>#DIV/0!</v>
      </c>
      <c r="L762" s="24" t="e">
        <f>1-K762</f>
        <v>#DIV/0!</v>
      </c>
      <c r="M762" s="25" t="s">
        <v>3803</v>
      </c>
      <c r="N762" s="25" t="s">
        <v>3804</v>
      </c>
      <c r="O762" s="26" t="s">
        <v>3805</v>
      </c>
      <c r="P762" s="27" t="s">
        <v>580</v>
      </c>
      <c r="Q762" s="27" t="s">
        <v>445</v>
      </c>
      <c r="R762" s="21" t="s">
        <v>26</v>
      </c>
      <c r="S762" s="29">
        <v>668</v>
      </c>
      <c r="T762" s="1"/>
    </row>
    <row r="763" spans="1:34" x14ac:dyDescent="0.3">
      <c r="A763" s="16">
        <v>760</v>
      </c>
      <c r="B763" s="62" t="s">
        <v>3913</v>
      </c>
      <c r="C763" s="63" t="s">
        <v>3814</v>
      </c>
      <c r="D763" s="19">
        <v>46017</v>
      </c>
      <c r="E763" s="56"/>
      <c r="F763" s="27"/>
      <c r="G763" s="20"/>
      <c r="H763" s="20"/>
      <c r="I763" s="21">
        <v>77.884399999999999</v>
      </c>
      <c r="J763" s="22">
        <f>ROUND(I763*H763,2)</f>
        <v>0</v>
      </c>
      <c r="K763" s="23" t="e">
        <f>ROUND(G763/J763,4)</f>
        <v>#DIV/0!</v>
      </c>
      <c r="L763" s="24" t="e">
        <f>1-K763</f>
        <v>#DIV/0!</v>
      </c>
      <c r="M763" s="37" t="s">
        <v>3815</v>
      </c>
      <c r="N763" s="37" t="s">
        <v>3816</v>
      </c>
      <c r="O763" s="26" t="s">
        <v>3879</v>
      </c>
      <c r="P763" s="27"/>
      <c r="Q763" s="27"/>
      <c r="R763" s="21" t="s">
        <v>26</v>
      </c>
      <c r="S763" s="29">
        <v>669</v>
      </c>
      <c r="T763" s="30"/>
      <c r="W763" s="30"/>
    </row>
    <row r="764" spans="1:34" x14ac:dyDescent="0.3">
      <c r="A764" s="16">
        <v>761</v>
      </c>
      <c r="B764" s="62" t="s">
        <v>3914</v>
      </c>
      <c r="C764" s="63" t="s">
        <v>3817</v>
      </c>
      <c r="D764" s="19">
        <v>46017</v>
      </c>
      <c r="E764" s="56"/>
      <c r="F764" s="27"/>
      <c r="G764" s="20"/>
      <c r="H764" s="20"/>
      <c r="I764" s="21">
        <v>77.884399999999999</v>
      </c>
      <c r="J764" s="22">
        <f>ROUND(I764*H764,2)</f>
        <v>0</v>
      </c>
      <c r="K764" s="23" t="e">
        <f>ROUND(G764/J764,4)</f>
        <v>#DIV/0!</v>
      </c>
      <c r="L764" s="24" t="e">
        <f>1-K764</f>
        <v>#DIV/0!</v>
      </c>
      <c r="M764" s="37" t="s">
        <v>3818</v>
      </c>
      <c r="N764" s="37" t="s">
        <v>3819</v>
      </c>
      <c r="O764" s="26" t="s">
        <v>3880</v>
      </c>
      <c r="P764" s="27"/>
      <c r="Q764" s="27"/>
      <c r="R764" s="21" t="s">
        <v>26</v>
      </c>
      <c r="S764" s="29">
        <v>670</v>
      </c>
      <c r="T764" s="30"/>
      <c r="W764" s="30"/>
    </row>
    <row r="765" spans="1:34" x14ac:dyDescent="0.3">
      <c r="A765" s="16">
        <v>762</v>
      </c>
      <c r="B765" s="62" t="s">
        <v>3915</v>
      </c>
      <c r="C765" s="63" t="s">
        <v>3820</v>
      </c>
      <c r="D765" s="19">
        <v>46017</v>
      </c>
      <c r="E765" s="56"/>
      <c r="F765" s="27"/>
      <c r="G765" s="20"/>
      <c r="H765" s="20"/>
      <c r="I765" s="21">
        <v>77.884399999999999</v>
      </c>
      <c r="J765" s="22">
        <f>ROUND(I765*H765,2)</f>
        <v>0</v>
      </c>
      <c r="K765" s="23" t="e">
        <f>ROUND(G765/J765,4)</f>
        <v>#DIV/0!</v>
      </c>
      <c r="L765" s="24" t="e">
        <f>1-K765</f>
        <v>#DIV/0!</v>
      </c>
      <c r="M765" s="37" t="s">
        <v>3821</v>
      </c>
      <c r="N765" s="37" t="s">
        <v>3822</v>
      </c>
      <c r="O765" s="26" t="s">
        <v>3881</v>
      </c>
      <c r="P765" s="27"/>
      <c r="Q765" s="27"/>
      <c r="R765" s="21" t="s">
        <v>26</v>
      </c>
      <c r="S765" s="29">
        <v>671</v>
      </c>
      <c r="T765" s="30"/>
      <c r="W765" s="30"/>
    </row>
    <row r="766" spans="1:34" x14ac:dyDescent="0.3">
      <c r="A766" s="16">
        <v>763</v>
      </c>
      <c r="B766" s="62" t="s">
        <v>3916</v>
      </c>
      <c r="C766" s="63" t="s">
        <v>3823</v>
      </c>
      <c r="D766" s="19">
        <v>46017</v>
      </c>
      <c r="E766" s="56"/>
      <c r="F766" s="27"/>
      <c r="G766" s="20"/>
      <c r="H766" s="20"/>
      <c r="I766" s="21">
        <v>77.884399999999999</v>
      </c>
      <c r="J766" s="22">
        <f>ROUND(I766*H766,2)</f>
        <v>0</v>
      </c>
      <c r="K766" s="23" t="e">
        <f>ROUND(G766/J766,4)</f>
        <v>#DIV/0!</v>
      </c>
      <c r="L766" s="24" t="e">
        <f>1-K766</f>
        <v>#DIV/0!</v>
      </c>
      <c r="M766" s="37" t="s">
        <v>3824</v>
      </c>
      <c r="N766" s="37" t="s">
        <v>3825</v>
      </c>
      <c r="O766" s="26" t="s">
        <v>3882</v>
      </c>
      <c r="P766" s="27"/>
      <c r="Q766" s="27"/>
      <c r="R766" s="21" t="s">
        <v>26</v>
      </c>
      <c r="S766" s="29">
        <v>672</v>
      </c>
      <c r="T766" s="30"/>
      <c r="W766" s="30"/>
    </row>
    <row r="767" spans="1:34" x14ac:dyDescent="0.3">
      <c r="A767" s="16">
        <v>764</v>
      </c>
      <c r="B767" s="62" t="s">
        <v>3917</v>
      </c>
      <c r="C767" s="63" t="s">
        <v>3826</v>
      </c>
      <c r="D767" s="19">
        <v>46017</v>
      </c>
      <c r="E767" s="56"/>
      <c r="F767" s="27"/>
      <c r="G767" s="20"/>
      <c r="H767" s="20"/>
      <c r="I767" s="21">
        <v>77.884399999999999</v>
      </c>
      <c r="J767" s="22">
        <f>ROUND(I767*H767,2)</f>
        <v>0</v>
      </c>
      <c r="K767" s="23" t="e">
        <f>ROUND(G767/J767,4)</f>
        <v>#DIV/0!</v>
      </c>
      <c r="L767" s="24" t="e">
        <f>1-K767</f>
        <v>#DIV/0!</v>
      </c>
      <c r="M767" s="37" t="s">
        <v>3827</v>
      </c>
      <c r="N767" s="37" t="s">
        <v>3828</v>
      </c>
      <c r="O767" s="26" t="s">
        <v>3883</v>
      </c>
      <c r="P767" s="27"/>
      <c r="Q767" s="27"/>
      <c r="R767" s="21" t="s">
        <v>26</v>
      </c>
      <c r="S767" s="29">
        <v>673</v>
      </c>
      <c r="T767" s="30"/>
      <c r="W767" s="30"/>
    </row>
    <row r="768" spans="1:34" x14ac:dyDescent="0.3">
      <c r="A768" s="16">
        <v>765</v>
      </c>
      <c r="B768" s="62" t="s">
        <v>3918</v>
      </c>
      <c r="C768" s="63" t="s">
        <v>3829</v>
      </c>
      <c r="D768" s="19">
        <v>46017</v>
      </c>
      <c r="E768" s="56"/>
      <c r="F768" s="27"/>
      <c r="G768" s="20"/>
      <c r="H768" s="20"/>
      <c r="I768" s="21">
        <v>77.884399999999999</v>
      </c>
      <c r="J768" s="22">
        <f>ROUND(I768*H768,2)</f>
        <v>0</v>
      </c>
      <c r="K768" s="23" t="e">
        <f>ROUND(G768/J768,4)</f>
        <v>#DIV/0!</v>
      </c>
      <c r="L768" s="24" t="e">
        <f>1-K768</f>
        <v>#DIV/0!</v>
      </c>
      <c r="M768" s="37" t="s">
        <v>3830</v>
      </c>
      <c r="N768" s="37" t="s">
        <v>3831</v>
      </c>
      <c r="O768" s="26" t="s">
        <v>3884</v>
      </c>
      <c r="P768" s="27"/>
      <c r="Q768" s="27"/>
      <c r="R768" s="21" t="s">
        <v>26</v>
      </c>
      <c r="S768" s="29">
        <v>674</v>
      </c>
      <c r="T768" s="30"/>
      <c r="W768" s="30"/>
    </row>
    <row r="769" spans="1:23" x14ac:dyDescent="0.3">
      <c r="A769" s="16">
        <v>766</v>
      </c>
      <c r="B769" s="62" t="s">
        <v>3919</v>
      </c>
      <c r="C769" s="63" t="s">
        <v>3832</v>
      </c>
      <c r="D769" s="19">
        <v>46017</v>
      </c>
      <c r="E769" s="56"/>
      <c r="F769" s="27"/>
      <c r="G769" s="20"/>
      <c r="H769" s="20"/>
      <c r="I769" s="21">
        <v>77.884399999999999</v>
      </c>
      <c r="J769" s="22">
        <f>ROUND(I769*H769,2)</f>
        <v>0</v>
      </c>
      <c r="K769" s="23" t="e">
        <f>ROUND(G769/J769,4)</f>
        <v>#DIV/0!</v>
      </c>
      <c r="L769" s="24" t="e">
        <f>1-K769</f>
        <v>#DIV/0!</v>
      </c>
      <c r="M769" s="37" t="s">
        <v>3833</v>
      </c>
      <c r="N769" s="37" t="s">
        <v>3834</v>
      </c>
      <c r="O769" s="26" t="s">
        <v>3885</v>
      </c>
      <c r="P769" s="27"/>
      <c r="Q769" s="27"/>
      <c r="R769" s="21" t="s">
        <v>26</v>
      </c>
      <c r="S769" s="29">
        <v>675</v>
      </c>
      <c r="T769" s="30"/>
      <c r="W769" s="30"/>
    </row>
    <row r="770" spans="1:23" x14ac:dyDescent="0.3">
      <c r="A770" s="16">
        <v>767</v>
      </c>
      <c r="B770" s="62" t="s">
        <v>3920</v>
      </c>
      <c r="C770" s="63" t="s">
        <v>3835</v>
      </c>
      <c r="D770" s="19">
        <v>46017</v>
      </c>
      <c r="E770" s="56"/>
      <c r="F770" s="27"/>
      <c r="G770" s="20"/>
      <c r="H770" s="20"/>
      <c r="I770" s="21">
        <v>77.884399999999999</v>
      </c>
      <c r="J770" s="22">
        <f>ROUND(I770*H770,2)</f>
        <v>0</v>
      </c>
      <c r="K770" s="23" t="e">
        <f>ROUND(G770/J770,4)</f>
        <v>#DIV/0!</v>
      </c>
      <c r="L770" s="24" t="e">
        <f>1-K770</f>
        <v>#DIV/0!</v>
      </c>
      <c r="M770" s="37" t="s">
        <v>3836</v>
      </c>
      <c r="N770" s="37" t="s">
        <v>3837</v>
      </c>
      <c r="O770" s="26" t="s">
        <v>3886</v>
      </c>
      <c r="P770" s="27"/>
      <c r="Q770" s="27"/>
      <c r="R770" s="21" t="s">
        <v>26</v>
      </c>
      <c r="S770" s="29">
        <v>676</v>
      </c>
      <c r="T770" s="30"/>
      <c r="W770" s="30"/>
    </row>
    <row r="771" spans="1:23" x14ac:dyDescent="0.3">
      <c r="A771" s="16">
        <v>768</v>
      </c>
      <c r="B771" s="62" t="s">
        <v>3921</v>
      </c>
      <c r="C771" s="63" t="s">
        <v>3838</v>
      </c>
      <c r="D771" s="19">
        <v>46017</v>
      </c>
      <c r="E771" s="56"/>
      <c r="F771" s="27"/>
      <c r="G771" s="20"/>
      <c r="H771" s="20"/>
      <c r="I771" s="21">
        <v>77.884399999999999</v>
      </c>
      <c r="J771" s="22">
        <f>ROUND(I771*H771,2)</f>
        <v>0</v>
      </c>
      <c r="K771" s="23" t="e">
        <f>ROUND(G771/J771,4)</f>
        <v>#DIV/0!</v>
      </c>
      <c r="L771" s="24" t="e">
        <f>1-K771</f>
        <v>#DIV/0!</v>
      </c>
      <c r="M771" s="37" t="s">
        <v>3839</v>
      </c>
      <c r="N771" s="37" t="s">
        <v>3840</v>
      </c>
      <c r="O771" s="26" t="s">
        <v>3887</v>
      </c>
      <c r="P771" s="27"/>
      <c r="Q771" s="27"/>
      <c r="R771" s="21" t="s">
        <v>26</v>
      </c>
      <c r="S771" s="29">
        <v>677</v>
      </c>
      <c r="T771" s="30"/>
      <c r="W771" s="30"/>
    </row>
    <row r="772" spans="1:23" x14ac:dyDescent="0.3">
      <c r="A772" s="16">
        <v>769</v>
      </c>
      <c r="B772" s="62" t="s">
        <v>3922</v>
      </c>
      <c r="C772" s="63" t="s">
        <v>3841</v>
      </c>
      <c r="D772" s="19">
        <v>46017</v>
      </c>
      <c r="E772" s="56"/>
      <c r="F772" s="27"/>
      <c r="G772" s="20"/>
      <c r="H772" s="20"/>
      <c r="I772" s="21">
        <v>77.884399999999999</v>
      </c>
      <c r="J772" s="22">
        <f>ROUND(I772*H772,2)</f>
        <v>0</v>
      </c>
      <c r="K772" s="23" t="e">
        <f>ROUND(G772/J772,4)</f>
        <v>#DIV/0!</v>
      </c>
      <c r="L772" s="24" t="e">
        <f>1-K772</f>
        <v>#DIV/0!</v>
      </c>
      <c r="M772" s="37" t="s">
        <v>3842</v>
      </c>
      <c r="N772" s="37" t="s">
        <v>3843</v>
      </c>
      <c r="O772" s="26" t="s">
        <v>3888</v>
      </c>
      <c r="P772" s="27"/>
      <c r="Q772" s="27"/>
      <c r="R772" s="21" t="s">
        <v>26</v>
      </c>
      <c r="S772" s="29">
        <v>678</v>
      </c>
      <c r="T772" s="30"/>
      <c r="W772" s="30"/>
    </row>
    <row r="773" spans="1:23" x14ac:dyDescent="0.3">
      <c r="A773" s="16">
        <v>770</v>
      </c>
      <c r="B773" s="62" t="s">
        <v>3923</v>
      </c>
      <c r="C773" s="63" t="s">
        <v>3844</v>
      </c>
      <c r="D773" s="19">
        <v>46017</v>
      </c>
      <c r="E773" s="56"/>
      <c r="F773" s="27"/>
      <c r="G773" s="20"/>
      <c r="H773" s="20"/>
      <c r="I773" s="21">
        <v>77.884399999999999</v>
      </c>
      <c r="J773" s="22">
        <f>ROUND(I773*H773,2)</f>
        <v>0</v>
      </c>
      <c r="K773" s="23" t="e">
        <f>ROUND(G773/J773,4)</f>
        <v>#DIV/0!</v>
      </c>
      <c r="L773" s="24" t="e">
        <f>1-K773</f>
        <v>#DIV/0!</v>
      </c>
      <c r="M773" s="37" t="s">
        <v>3845</v>
      </c>
      <c r="N773" s="37" t="s">
        <v>3846</v>
      </c>
      <c r="O773" s="26" t="s">
        <v>3889</v>
      </c>
      <c r="P773" s="27"/>
      <c r="Q773" s="27"/>
      <c r="R773" s="21" t="s">
        <v>26</v>
      </c>
      <c r="S773" s="29">
        <v>679</v>
      </c>
      <c r="T773" s="30"/>
      <c r="W773" s="30"/>
    </row>
    <row r="774" spans="1:23" x14ac:dyDescent="0.3">
      <c r="A774" s="16">
        <v>771</v>
      </c>
      <c r="B774" s="62" t="s">
        <v>3924</v>
      </c>
      <c r="C774" s="63" t="s">
        <v>3847</v>
      </c>
      <c r="D774" s="19">
        <v>46017</v>
      </c>
      <c r="E774" s="56"/>
      <c r="F774" s="27"/>
      <c r="G774" s="20"/>
      <c r="H774" s="20"/>
      <c r="I774" s="21">
        <v>77.884399999999999</v>
      </c>
      <c r="J774" s="22">
        <f>ROUND(I774*H774,2)</f>
        <v>0</v>
      </c>
      <c r="K774" s="23" t="e">
        <f>ROUND(G774/J774,4)</f>
        <v>#DIV/0!</v>
      </c>
      <c r="L774" s="24" t="e">
        <f>1-K774</f>
        <v>#DIV/0!</v>
      </c>
      <c r="M774" s="37" t="s">
        <v>3848</v>
      </c>
      <c r="N774" s="37" t="s">
        <v>3849</v>
      </c>
      <c r="O774" s="26" t="s">
        <v>3890</v>
      </c>
      <c r="P774" s="27"/>
      <c r="Q774" s="27"/>
      <c r="R774" s="21" t="s">
        <v>26</v>
      </c>
      <c r="S774" s="29">
        <v>680</v>
      </c>
      <c r="T774" s="30"/>
      <c r="W774" s="30"/>
    </row>
    <row r="775" spans="1:23" x14ac:dyDescent="0.3">
      <c r="A775" s="16">
        <v>772</v>
      </c>
      <c r="B775" s="62" t="s">
        <v>3925</v>
      </c>
      <c r="C775" s="68" t="s">
        <v>3850</v>
      </c>
      <c r="D775" s="19">
        <v>46017</v>
      </c>
      <c r="E775" s="56"/>
      <c r="F775" s="27"/>
      <c r="G775" s="20"/>
      <c r="H775" s="20"/>
      <c r="I775" s="21">
        <v>77.884399999999999</v>
      </c>
      <c r="J775" s="22">
        <f>ROUND(I775*H775,2)</f>
        <v>0</v>
      </c>
      <c r="K775" s="23" t="e">
        <f>ROUND(G775/J775,4)</f>
        <v>#DIV/0!</v>
      </c>
      <c r="L775" s="24" t="e">
        <f>1-K775</f>
        <v>#DIV/0!</v>
      </c>
      <c r="M775" s="37" t="s">
        <v>3851</v>
      </c>
      <c r="N775" s="37" t="s">
        <v>3852</v>
      </c>
      <c r="O775" s="26" t="s">
        <v>3891</v>
      </c>
      <c r="P775" s="27"/>
      <c r="Q775" s="27"/>
      <c r="R775" s="21" t="s">
        <v>26</v>
      </c>
      <c r="S775" s="29">
        <v>681</v>
      </c>
      <c r="T775" s="30"/>
      <c r="W775" s="30"/>
    </row>
    <row r="776" spans="1:23" x14ac:dyDescent="0.3">
      <c r="A776" s="16">
        <v>773</v>
      </c>
      <c r="B776" s="62" t="s">
        <v>3926</v>
      </c>
      <c r="C776" s="63" t="s">
        <v>3853</v>
      </c>
      <c r="D776" s="19">
        <v>46017</v>
      </c>
      <c r="E776" s="56"/>
      <c r="F776" s="27"/>
      <c r="G776" s="20"/>
      <c r="H776" s="20"/>
      <c r="I776" s="21">
        <v>77.884399999999999</v>
      </c>
      <c r="J776" s="22">
        <f>ROUND(I776*H776,2)</f>
        <v>0</v>
      </c>
      <c r="K776" s="23" t="e">
        <f>ROUND(G776/J776,4)</f>
        <v>#DIV/0!</v>
      </c>
      <c r="L776" s="24" t="e">
        <f>1-K776</f>
        <v>#DIV/0!</v>
      </c>
      <c r="M776" s="37" t="s">
        <v>3854</v>
      </c>
      <c r="N776" s="37" t="s">
        <v>3855</v>
      </c>
      <c r="O776" s="26" t="s">
        <v>3892</v>
      </c>
      <c r="P776" s="27"/>
      <c r="Q776" s="27"/>
      <c r="R776" s="21" t="s">
        <v>26</v>
      </c>
      <c r="S776" s="29">
        <v>682</v>
      </c>
      <c r="T776" s="30"/>
      <c r="W776" s="30"/>
    </row>
    <row r="777" spans="1:23" x14ac:dyDescent="0.3">
      <c r="A777" s="16">
        <v>774</v>
      </c>
      <c r="B777" s="62" t="s">
        <v>3927</v>
      </c>
      <c r="C777" s="63" t="s">
        <v>3856</v>
      </c>
      <c r="D777" s="19">
        <v>46017</v>
      </c>
      <c r="E777" s="56"/>
      <c r="F777" s="27"/>
      <c r="G777" s="20"/>
      <c r="H777" s="20"/>
      <c r="I777" s="21">
        <v>77.884399999999999</v>
      </c>
      <c r="J777" s="22">
        <f>ROUND(I777*H777,2)</f>
        <v>0</v>
      </c>
      <c r="K777" s="23" t="e">
        <f>ROUND(G777/J777,4)</f>
        <v>#DIV/0!</v>
      </c>
      <c r="L777" s="24" t="e">
        <f>1-K777</f>
        <v>#DIV/0!</v>
      </c>
      <c r="M777" s="37" t="s">
        <v>3857</v>
      </c>
      <c r="N777" s="37" t="s">
        <v>3858</v>
      </c>
      <c r="O777" s="26" t="s">
        <v>3893</v>
      </c>
      <c r="P777" s="27"/>
      <c r="Q777" s="27"/>
      <c r="R777" s="21" t="s">
        <v>26</v>
      </c>
      <c r="S777" s="29">
        <v>683</v>
      </c>
      <c r="T777" s="30"/>
      <c r="W777" s="30"/>
    </row>
    <row r="778" spans="1:23" x14ac:dyDescent="0.3">
      <c r="A778" s="16">
        <v>775</v>
      </c>
      <c r="B778" s="62" t="s">
        <v>3928</v>
      </c>
      <c r="C778" s="63" t="s">
        <v>3859</v>
      </c>
      <c r="D778" s="19">
        <v>46017</v>
      </c>
      <c r="E778" s="56"/>
      <c r="F778" s="27"/>
      <c r="G778" s="20"/>
      <c r="H778" s="20"/>
      <c r="I778" s="21">
        <v>77.884399999999999</v>
      </c>
      <c r="J778" s="22">
        <f>ROUND(I778*H778,2)</f>
        <v>0</v>
      </c>
      <c r="K778" s="23" t="e">
        <f>ROUND(G778/J778,4)</f>
        <v>#DIV/0!</v>
      </c>
      <c r="L778" s="24" t="e">
        <f>1-K778</f>
        <v>#DIV/0!</v>
      </c>
      <c r="M778" s="37" t="s">
        <v>3860</v>
      </c>
      <c r="N778" s="37" t="s">
        <v>3861</v>
      </c>
      <c r="O778" s="26" t="s">
        <v>3894</v>
      </c>
      <c r="P778" s="27"/>
      <c r="Q778" s="27"/>
      <c r="R778" s="21" t="s">
        <v>26</v>
      </c>
      <c r="S778" s="29">
        <v>684</v>
      </c>
      <c r="T778" s="30"/>
      <c r="W778" s="30"/>
    </row>
    <row r="779" spans="1:23" x14ac:dyDescent="0.3">
      <c r="A779" s="16">
        <v>776</v>
      </c>
      <c r="B779" s="62" t="s">
        <v>3929</v>
      </c>
      <c r="C779" s="63" t="s">
        <v>3862</v>
      </c>
      <c r="D779" s="19">
        <v>46017</v>
      </c>
      <c r="E779" s="56"/>
      <c r="F779" s="27"/>
      <c r="G779" s="20"/>
      <c r="H779" s="20"/>
      <c r="I779" s="21">
        <v>77.884399999999999</v>
      </c>
      <c r="J779" s="22">
        <f>ROUND(I779*H779,2)</f>
        <v>0</v>
      </c>
      <c r="K779" s="23" t="e">
        <f>ROUND(G779/J779,4)</f>
        <v>#DIV/0!</v>
      </c>
      <c r="L779" s="24" t="e">
        <f>1-K779</f>
        <v>#DIV/0!</v>
      </c>
      <c r="M779" s="37" t="s">
        <v>3863</v>
      </c>
      <c r="N779" s="37" t="s">
        <v>3864</v>
      </c>
      <c r="O779" s="26" t="s">
        <v>3897</v>
      </c>
      <c r="P779" s="27"/>
      <c r="Q779" s="27"/>
      <c r="R779" s="21" t="s">
        <v>26</v>
      </c>
      <c r="S779" s="29">
        <v>685</v>
      </c>
      <c r="T779" s="30"/>
      <c r="W779" s="30"/>
    </row>
    <row r="780" spans="1:23" x14ac:dyDescent="0.3">
      <c r="A780" s="16">
        <v>777</v>
      </c>
      <c r="B780" s="62" t="s">
        <v>3930</v>
      </c>
      <c r="C780" s="63" t="s">
        <v>3865</v>
      </c>
      <c r="D780" s="19">
        <v>46017</v>
      </c>
      <c r="E780" s="56"/>
      <c r="F780" s="27"/>
      <c r="G780" s="20"/>
      <c r="H780" s="20"/>
      <c r="I780" s="21">
        <v>77.884399999999999</v>
      </c>
      <c r="J780" s="22">
        <f>ROUND(I780*H780,2)</f>
        <v>0</v>
      </c>
      <c r="K780" s="23" t="e">
        <f>ROUND(G780/J780,4)</f>
        <v>#DIV/0!</v>
      </c>
      <c r="L780" s="24" t="e">
        <f>1-K780</f>
        <v>#DIV/0!</v>
      </c>
      <c r="M780" s="37" t="s">
        <v>3866</v>
      </c>
      <c r="N780" s="37" t="s">
        <v>3867</v>
      </c>
      <c r="O780" s="26" t="s">
        <v>3898</v>
      </c>
      <c r="P780" s="27"/>
      <c r="Q780" s="27"/>
      <c r="R780" s="21" t="s">
        <v>26</v>
      </c>
      <c r="S780" s="29">
        <v>686</v>
      </c>
      <c r="T780" s="30"/>
      <c r="W780" s="30"/>
    </row>
    <row r="781" spans="1:23" x14ac:dyDescent="0.3">
      <c r="A781" s="16">
        <v>778</v>
      </c>
      <c r="B781" s="62" t="s">
        <v>3931</v>
      </c>
      <c r="C781" s="63" t="s">
        <v>3868</v>
      </c>
      <c r="D781" s="19">
        <v>46017</v>
      </c>
      <c r="E781" s="56"/>
      <c r="F781" s="27"/>
      <c r="G781" s="20"/>
      <c r="H781" s="20"/>
      <c r="I781" s="21">
        <v>77.884399999999999</v>
      </c>
      <c r="J781" s="22">
        <f>ROUND(I781*H781,2)</f>
        <v>0</v>
      </c>
      <c r="K781" s="23" t="e">
        <f>ROUND(G781/J781,4)</f>
        <v>#DIV/0!</v>
      </c>
      <c r="L781" s="24" t="e">
        <f>1-K781</f>
        <v>#DIV/0!</v>
      </c>
      <c r="M781" s="37" t="s">
        <v>3869</v>
      </c>
      <c r="N781" s="37" t="s">
        <v>3870</v>
      </c>
      <c r="O781" s="26" t="s">
        <v>3899</v>
      </c>
      <c r="P781" s="27"/>
      <c r="Q781" s="27"/>
      <c r="R781" s="21" t="s">
        <v>26</v>
      </c>
      <c r="S781" s="29">
        <v>687</v>
      </c>
      <c r="T781" s="30"/>
      <c r="W781" s="30"/>
    </row>
    <row r="782" spans="1:23" x14ac:dyDescent="0.3">
      <c r="A782" s="16">
        <v>779</v>
      </c>
      <c r="B782" s="62" t="s">
        <v>3932</v>
      </c>
      <c r="C782" s="63" t="s">
        <v>3871</v>
      </c>
      <c r="D782" s="19">
        <v>46017</v>
      </c>
      <c r="E782" s="56"/>
      <c r="F782" s="27"/>
      <c r="G782" s="20"/>
      <c r="H782" s="20"/>
      <c r="I782" s="21">
        <v>77.884399999999999</v>
      </c>
      <c r="J782" s="22">
        <f>ROUND(I782*H782,2)</f>
        <v>0</v>
      </c>
      <c r="K782" s="23" t="e">
        <f>ROUND(G782/J782,4)</f>
        <v>#DIV/0!</v>
      </c>
      <c r="L782" s="24" t="e">
        <f>1-K782</f>
        <v>#DIV/0!</v>
      </c>
      <c r="M782" s="37" t="s">
        <v>3872</v>
      </c>
      <c r="N782" s="37" t="s">
        <v>3873</v>
      </c>
      <c r="O782" s="26" t="s">
        <v>3900</v>
      </c>
      <c r="P782" s="27"/>
      <c r="Q782" s="27"/>
      <c r="R782" s="21" t="s">
        <v>26</v>
      </c>
      <c r="S782" s="29">
        <v>688</v>
      </c>
      <c r="T782" s="30"/>
      <c r="W782" s="30"/>
    </row>
    <row r="783" spans="1:23" x14ac:dyDescent="0.3">
      <c r="A783" s="11"/>
      <c r="B783" s="26"/>
      <c r="C783" s="27"/>
      <c r="D783" s="19"/>
      <c r="E783" s="56"/>
      <c r="F783" s="27"/>
      <c r="G783" s="20"/>
      <c r="H783" s="20"/>
      <c r="I783" s="21"/>
      <c r="J783" s="22"/>
      <c r="K783" s="23"/>
      <c r="L783" s="24"/>
      <c r="M783" s="25"/>
      <c r="N783" s="23"/>
      <c r="O783" s="26"/>
      <c r="P783" s="27"/>
      <c r="Q783" s="27"/>
      <c r="R783" s="21"/>
      <c r="S783" s="1"/>
      <c r="T783" s="10"/>
    </row>
    <row r="784" spans="1:23" x14ac:dyDescent="0.3">
      <c r="A784" s="27"/>
      <c r="B784" s="35" t="s">
        <v>3806</v>
      </c>
      <c r="C784" s="27"/>
      <c r="D784" s="27"/>
      <c r="E784" s="56"/>
      <c r="F784" s="27"/>
      <c r="G784" s="20"/>
      <c r="H784" s="20"/>
      <c r="I784" s="21"/>
      <c r="J784" s="57"/>
      <c r="K784" s="27"/>
      <c r="L784" s="57" t="e">
        <f>AVERAGE(L4:L783)</f>
        <v>#DIV/0!</v>
      </c>
      <c r="M784" s="23"/>
      <c r="N784" s="23"/>
      <c r="O784" s="26"/>
      <c r="P784" s="27"/>
      <c r="Q784" s="27"/>
      <c r="R784" s="21"/>
      <c r="S784" s="1"/>
      <c r="T784" s="10"/>
    </row>
    <row r="785" spans="1:20" x14ac:dyDescent="0.3">
      <c r="A785" s="1"/>
      <c r="B785" s="58"/>
      <c r="C785" s="1"/>
      <c r="D785" s="1"/>
      <c r="E785" s="29"/>
      <c r="F785" s="1"/>
      <c r="G785" s="59"/>
      <c r="H785" s="59"/>
      <c r="I785" s="9"/>
      <c r="J785" s="1"/>
      <c r="K785" s="1"/>
      <c r="L785" s="1">
        <f>COUNT(L4:L783)</f>
        <v>0</v>
      </c>
      <c r="M785" s="9"/>
      <c r="N785" s="9"/>
      <c r="O785" s="2"/>
      <c r="P785" s="1"/>
      <c r="Q785" s="1"/>
      <c r="R785" s="21"/>
      <c r="S785" s="1"/>
      <c r="T785" s="10"/>
    </row>
    <row r="786" spans="1:20" x14ac:dyDescent="0.3">
      <c r="A786" s="1"/>
      <c r="B786" s="2"/>
      <c r="C786" s="1"/>
      <c r="D786" s="1"/>
      <c r="E786" s="29"/>
      <c r="F786" s="1"/>
      <c r="G786" s="59"/>
      <c r="H786" s="59"/>
      <c r="I786" s="1"/>
      <c r="J786" s="1"/>
      <c r="K786" s="1"/>
      <c r="L786" s="1"/>
      <c r="M786" s="9"/>
      <c r="N786" s="9"/>
      <c r="O786" s="2"/>
      <c r="P786" s="1"/>
      <c r="Q786" s="1"/>
      <c r="R786" s="9"/>
      <c r="S786" s="1"/>
      <c r="T786" s="10"/>
    </row>
    <row r="787" spans="1:20" x14ac:dyDescent="0.3">
      <c r="A787" s="1"/>
      <c r="B787" s="2"/>
      <c r="C787" s="1"/>
      <c r="D787" s="1"/>
      <c r="E787" s="29"/>
      <c r="F787" s="1"/>
      <c r="G787" s="59"/>
      <c r="H787" s="59"/>
      <c r="I787" s="1"/>
      <c r="J787" s="1"/>
      <c r="K787" s="1"/>
      <c r="L787" s="1"/>
      <c r="M787" s="9"/>
      <c r="N787" s="9"/>
      <c r="O787" s="2"/>
      <c r="P787" s="1"/>
      <c r="Q787" s="1"/>
      <c r="R787" s="9"/>
      <c r="S787" s="1"/>
      <c r="T787" s="10"/>
    </row>
    <row r="788" spans="1:20" x14ac:dyDescent="0.3">
      <c r="A788" s="1"/>
      <c r="B788" s="2"/>
      <c r="C788" s="1"/>
      <c r="D788" s="1"/>
      <c r="E788" s="29"/>
      <c r="F788" s="1"/>
      <c r="G788" s="59"/>
      <c r="H788" s="59"/>
      <c r="I788" s="1"/>
      <c r="J788" s="1"/>
      <c r="K788" s="1"/>
      <c r="L788" s="60"/>
      <c r="M788" s="9"/>
      <c r="N788" s="9"/>
      <c r="O788" s="2"/>
      <c r="P788" s="1"/>
      <c r="Q788" s="1"/>
      <c r="R788" s="9"/>
      <c r="S788" s="1"/>
      <c r="T788" s="10"/>
    </row>
    <row r="789" spans="1:20" x14ac:dyDescent="0.3">
      <c r="A789" s="1"/>
      <c r="B789" s="2"/>
      <c r="C789" s="1"/>
      <c r="D789" s="1"/>
      <c r="E789" s="29"/>
      <c r="F789" s="1"/>
      <c r="G789" s="59"/>
      <c r="H789" s="59"/>
      <c r="I789" s="1"/>
      <c r="J789" s="1"/>
      <c r="K789" s="1"/>
      <c r="L789" s="1"/>
      <c r="M789" s="9"/>
      <c r="N789" s="9"/>
      <c r="O789" s="2"/>
      <c r="P789" s="1"/>
      <c r="Q789" s="1"/>
      <c r="R789" s="9"/>
      <c r="S789" s="1"/>
      <c r="T789" s="10"/>
    </row>
    <row r="790" spans="1:20" x14ac:dyDescent="0.3">
      <c r="A790" s="1"/>
      <c r="B790" s="2"/>
      <c r="C790" s="1"/>
      <c r="D790" s="1"/>
      <c r="E790" s="29"/>
      <c r="F790" s="1"/>
      <c r="G790" s="59"/>
      <c r="H790" s="59"/>
      <c r="I790" s="1"/>
      <c r="J790" s="1"/>
      <c r="K790" s="1"/>
      <c r="L790" s="1"/>
      <c r="M790" s="9"/>
      <c r="N790" s="9"/>
      <c r="O790" s="2"/>
      <c r="P790" s="1"/>
      <c r="Q790" s="1"/>
      <c r="R790" s="9"/>
      <c r="S790" s="1"/>
      <c r="T790" s="10"/>
    </row>
    <row r="791" spans="1:20" x14ac:dyDescent="0.3">
      <c r="A791" s="1"/>
      <c r="B791" s="2"/>
      <c r="C791" s="1"/>
      <c r="D791" s="1"/>
      <c r="E791" s="29"/>
      <c r="F791" s="1"/>
      <c r="G791" s="59"/>
      <c r="H791" s="59"/>
      <c r="I791" s="1"/>
      <c r="J791" s="1"/>
      <c r="K791" s="1"/>
      <c r="L791" s="1" t="e">
        <f>_xlfn.STDEV.S(L4:L783)</f>
        <v>#DIV/0!</v>
      </c>
      <c r="M791" s="9" t="s">
        <v>3807</v>
      </c>
      <c r="N791" s="9"/>
      <c r="O791" s="2"/>
      <c r="P791" s="1"/>
      <c r="Q791" s="1"/>
      <c r="R791" s="9"/>
      <c r="S791" s="1"/>
      <c r="T791" s="10"/>
    </row>
    <row r="792" spans="1:20" x14ac:dyDescent="0.3">
      <c r="A792" s="1"/>
      <c r="B792" s="2"/>
      <c r="C792" s="1"/>
      <c r="D792" s="1"/>
      <c r="E792" s="29"/>
      <c r="F792" s="1"/>
      <c r="G792" s="59"/>
      <c r="H792" s="59"/>
      <c r="I792" s="1"/>
      <c r="J792" s="1"/>
      <c r="K792" s="1"/>
      <c r="L792" s="60" t="e">
        <f>AVERAGE(L4:L783)</f>
        <v>#DIV/0!</v>
      </c>
      <c r="M792" s="9" t="s">
        <v>3808</v>
      </c>
      <c r="N792" s="9"/>
      <c r="O792" s="2"/>
      <c r="P792" s="1"/>
      <c r="Q792" s="1"/>
      <c r="R792" s="9"/>
      <c r="S792" s="1"/>
      <c r="T792" s="10"/>
    </row>
    <row r="793" spans="1:20" x14ac:dyDescent="0.3">
      <c r="A793" s="1"/>
      <c r="B793" s="2"/>
      <c r="C793" s="1"/>
      <c r="D793" s="1"/>
      <c r="E793" s="29"/>
      <c r="F793" s="1"/>
      <c r="G793" s="59"/>
      <c r="H793" s="59"/>
      <c r="I793" s="1"/>
      <c r="J793" s="1"/>
      <c r="K793" s="1"/>
      <c r="L793" s="61" t="e">
        <f>L791/L792</f>
        <v>#DIV/0!</v>
      </c>
      <c r="M793" s="9" t="s">
        <v>3809</v>
      </c>
      <c r="N793" s="9"/>
      <c r="O793" s="2"/>
      <c r="P793" s="1"/>
      <c r="Q793" s="1"/>
      <c r="R793" s="9"/>
      <c r="S793" s="1"/>
      <c r="T793" s="10"/>
    </row>
    <row r="794" spans="1:20" x14ac:dyDescent="0.3">
      <c r="A794" s="10"/>
      <c r="B794" s="10"/>
      <c r="C794" s="10"/>
      <c r="D794" s="10"/>
      <c r="E794" s="10"/>
      <c r="F794" s="10"/>
      <c r="O794" s="10"/>
      <c r="P794" s="10"/>
      <c r="Q794" s="10"/>
      <c r="R794" s="10"/>
    </row>
  </sheetData>
  <sortState xmlns:xlrd2="http://schemas.microsoft.com/office/spreadsheetml/2017/richdata2" ref="A4:AH782">
    <sortCondition ref="C4:C782"/>
  </sortState>
  <hyperlinks>
    <hyperlink ref="K1" r:id="rId1" xr:uid="{C2E9BE5A-2629-4FAF-B44D-64C025AB06C0}"/>
    <hyperlink ref="M4" r:id="rId2" location="/mode=instrument&amp;secid=TSVT-RM&amp;boardgroupid=1258&amp;mode_type=history&amp;date_from=2025-07-28" xr:uid="{93C4240F-3591-44F8-B2EC-AE1AB08D3EF8}"/>
    <hyperlink ref="N4" r:id="rId3" xr:uid="{44F1B8DE-6099-45BE-90D2-09223C1C2D8B}"/>
    <hyperlink ref="M5" r:id="rId4" location="/mode=instrument&amp;secid=TWOU-RM&amp;boardgroupid=1258&amp;mode_type=history&amp;date_from=2025-07-28" xr:uid="{6D5CE7C2-4D5E-4A93-856B-A0E9900EB679}"/>
    <hyperlink ref="N5" r:id="rId5" xr:uid="{87E024FC-C408-469B-A704-24EFB482A150}"/>
    <hyperlink ref="M6" r:id="rId6" location="/mode=instrument&amp;secid=MMM-RM&amp;boardgroupid=1258&amp;mode_type=history&amp;date_from=2025-04-28" xr:uid="{BF834163-9078-43BE-88F4-488767ECD16B}"/>
    <hyperlink ref="N6" r:id="rId7" xr:uid="{CA8BEE2C-EE28-4F75-B3C6-ADA3E942A082}"/>
    <hyperlink ref="M7" r:id="rId8" location="/mode=instrument&amp;secid=EGHT-RM&amp;boardgroupid=1258&amp;mode_type=history&amp;date_from=2025-07-28" xr:uid="{E89FE1C9-128A-4FA4-9F31-253998037689}"/>
    <hyperlink ref="N7" r:id="rId9" xr:uid="{6E81BDFF-1820-4F5B-A70A-97DC60C378E6}"/>
    <hyperlink ref="M8" r:id="rId10" location="/mode=instrument&amp;secid=AOS-RM&amp;boardgroupid=1258&amp;mode_type=history&amp;date_from=2025-07-28" xr:uid="{E541D96C-5A4C-4B68-846F-A9EFB0A8D299}"/>
    <hyperlink ref="N8" r:id="rId11" xr:uid="{2EE5181B-19B7-4694-B378-81B328962A82}"/>
    <hyperlink ref="M9" r:id="rId12" location="/mode=instrument&amp;secid=ABT-RM&amp;boardgroupid=1258&amp;mode_type=history&amp;date_from=2025-04-28" xr:uid="{D42B5584-46EE-4645-BE93-8EEC5E63661A}"/>
    <hyperlink ref="N9" r:id="rId13" xr:uid="{C22E6E9C-4936-46E6-A7DE-22F366E10C8D}"/>
    <hyperlink ref="M10" r:id="rId14" location="/mode=instrument&amp;secid=ABBV-RM&amp;boardgroupid=1258&amp;mode_type=history&amp;date_from=2025-04-28" xr:uid="{6EB9C64B-14F0-421E-8E71-7B6AA38BE24B}"/>
    <hyperlink ref="N10" r:id="rId15" xr:uid="{17A626AD-9B69-4B28-9D07-879C19AE306B}"/>
    <hyperlink ref="M11" r:id="rId16" location="/mode=instrument&amp;secid=ANF-RM&amp;boardgroupid=1258&amp;mode_type=history&amp;date_from=2025-07-28" xr:uid="{02EA3726-EB59-4253-A2E0-821CDD60A9F3}"/>
    <hyperlink ref="N11" r:id="rId17" xr:uid="{412CFB9E-0EBE-4473-B877-DE6569B7E21C}"/>
    <hyperlink ref="M12" r:id="rId18" location="/mode=instrument&amp;secid=ABMD-RM&amp;boardgroupid=1258&amp;mode_type=history&amp;date_from=2025-07-28" xr:uid="{96A6BFAA-FD9A-42C3-BBB6-411DA1406634}"/>
    <hyperlink ref="N12" r:id="rId19" xr:uid="{C1225C4D-E3A9-4771-A8CA-804D67B8478F}"/>
    <hyperlink ref="M13" r:id="rId20" location="/mode=instrument&amp;secid=ASO-RM&amp;boardgroupid=1258&amp;mode_type=history&amp;date_from=2025-07-28" xr:uid="{494DA37C-D394-4F3E-95C7-560B4CC83A4D}"/>
    <hyperlink ref="N13" r:id="rId21" xr:uid="{A6E998F8-0CE3-4667-B673-573CDF830937}"/>
    <hyperlink ref="M14" r:id="rId22" location="/mode=instrument&amp;secid=ACAD-RM&amp;boardgroupid=1258&amp;mode_type=history&amp;date_from=2025-07-28" xr:uid="{B3D9865C-5611-4F0B-A781-208F2E59ACD6}"/>
    <hyperlink ref="N14" r:id="rId23" xr:uid="{1F3DF750-8090-492B-9395-AE55B8774890}"/>
    <hyperlink ref="M16" r:id="rId24" location="/mode=instrument&amp;secid=ATVI-RM&amp;boardgroupid=1258&amp;mode_type=history&amp;date_from=2025-07-28" xr:uid="{0AFCB220-B916-4256-8C1C-FC0C0928A9A7}"/>
    <hyperlink ref="N16" r:id="rId25" xr:uid="{D3572872-0D24-4BFC-89EF-AD89E0F52C96}"/>
    <hyperlink ref="M18" r:id="rId26" location="/mode=instrument&amp;secid=ADBE-RM&amp;boardgroupid=1258&amp;mode_type=history&amp;date_from=2025-04-28" xr:uid="{680FEC98-9570-4C5C-A723-FD0277708D31}"/>
    <hyperlink ref="N18" r:id="rId27" xr:uid="{CC585B4D-30E0-4B3E-BFDE-118819BB5CDE}"/>
    <hyperlink ref="M19" r:id="rId28" location="/mode=instrument&amp;secid=AAP-RM&amp;boardgroupid=1258&amp;mode_type=history&amp;date_from=2025-07-28" xr:uid="{BE19EBB5-A6A2-49F7-9E8B-F67815B35189}"/>
    <hyperlink ref="N19" r:id="rId29" xr:uid="{9405ACD6-2EDC-45C3-8214-7243C8260B13}"/>
    <hyperlink ref="M20" r:id="rId30" location="/mode=instrument&amp;secid=AMD-RM&amp;boardgroupid=1258&amp;mode_type=history&amp;date_from=2025-04-28" xr:uid="{F52835B0-D924-460F-9241-EF4E27F678DE}"/>
    <hyperlink ref="N20" r:id="rId31" xr:uid="{C6FAD041-5492-4831-93E6-82F99FE50799}"/>
    <hyperlink ref="M21" r:id="rId32" location="/mode=instrument&amp;secid=AFL-RM&amp;boardgroupid=1258&amp;mode_type=history&amp;date_from=2025-07-28" xr:uid="{1BC01DB9-12C9-427F-BA66-883B3E1D8FD5}"/>
    <hyperlink ref="N21" r:id="rId33" xr:uid="{4B6C0914-AF24-44D4-8DC1-FC467DDD9094}"/>
    <hyperlink ref="M22" r:id="rId34" location="/mode=instrument&amp;secid=A-RM&amp;boardgroupid=1258&amp;mode_type=history&amp;date_from=2025-07-28" xr:uid="{A655B2CB-48F9-4BD4-BB35-7C4A1EF2569E}"/>
    <hyperlink ref="N22" r:id="rId35" xr:uid="{36A5C1ED-9219-4651-91E5-0492E06F746E}"/>
    <hyperlink ref="M23" r:id="rId36" location="/mode=instrument&amp;secid=APD-RM&amp;boardgroupid=1258&amp;mode_type=history&amp;date_from=2025-07-28" xr:uid="{BEE1B419-C192-477B-92B2-B603A7141A8C}"/>
    <hyperlink ref="N23" r:id="rId37" xr:uid="{8E2D8657-D0DA-44E2-A906-2A5DBE9584E8}"/>
    <hyperlink ref="M24" r:id="rId38" location="/mode=instrument&amp;secid=ABNB-RM&amp;boardgroupid=1258&amp;mode_type=history&amp;date_from=2025-07-28" xr:uid="{5D8B885D-452B-48C4-A674-ED4CFA0C6FDC}"/>
    <hyperlink ref="N24" r:id="rId39" xr:uid="{29D29565-EBB1-48F2-9380-76B177DFBE5F}"/>
    <hyperlink ref="M25" r:id="rId40" location="/mode=instrument&amp;secid=AKAM-RM&amp;boardgroupid=1258&amp;mode_type=history&amp;date_from=2025-07-28" xr:uid="{D8B97F9E-551F-4FD0-84E4-30F23739AA5F}"/>
    <hyperlink ref="N25" r:id="rId41" xr:uid="{3A15331D-2B2A-41EF-9828-AEB5AD70ED1F}"/>
    <hyperlink ref="M26" r:id="rId42" location="/mode=instrument&amp;secid=ALK-RM&amp;boardgroupid=1258&amp;mode_type=history&amp;date_from=2025-07-28" xr:uid="{69CF0689-AFC2-4A46-8B2F-A6BA3E4830E2}"/>
    <hyperlink ref="N26" r:id="rId43" xr:uid="{B4A4BF45-DA7D-421D-AFCD-0B35CF0286E1}"/>
    <hyperlink ref="M27" r:id="rId44" location="/mode=instrument&amp;secid=ALB-RM&amp;boardgroupid=1258&amp;mode_type=history&amp;date_from=2025-07-28" xr:uid="{ED42FADD-E4DD-4B80-8618-70A10C1B9EFF}"/>
    <hyperlink ref="N27" r:id="rId45" xr:uid="{046BD41D-C820-48AE-8775-4184486C93F0}"/>
    <hyperlink ref="M28" r:id="rId46" location="/mode=instrument&amp;secid=AA-RM&amp;boardgroupid=1258&amp;mode_type=history&amp;date_from=2025-04-28" xr:uid="{2C962F20-6E91-4665-9371-8B48C2DF364A}"/>
    <hyperlink ref="N28" r:id="rId47" xr:uid="{C914904C-4DC1-48CA-9BB6-CF344D8744F0}"/>
    <hyperlink ref="M29" r:id="rId48" location="/mode=instrument&amp;secid=ALGN-RM&amp;boardgroupid=1258&amp;mode_type=history&amp;date_from=2025-07-28" xr:uid="{F70883F8-4A4E-4877-96D6-5B1057CE0CB4}"/>
    <hyperlink ref="N29" r:id="rId49" xr:uid="{82E60D36-EDCA-4247-9121-CBF4FF868232}"/>
    <hyperlink ref="M30" r:id="rId50" location="/mode=instrument&amp;secid=LNT-RM&amp;boardgroupid=1258&amp;mode_type=history&amp;date_from=2025-07-28" xr:uid="{3C7D1385-938D-48C1-9140-6B8471B49921}"/>
    <hyperlink ref="N30" r:id="rId51" xr:uid="{A2C4A089-A62E-49F4-BBDC-56707C5807B6}"/>
    <hyperlink ref="M32" r:id="rId52" location="/mode=instrument&amp;secid=ALL-RM&amp;boardgroupid=1258&amp;mode_type=history&amp;date_from=2025-07-28" xr:uid="{1D2AF655-D8A2-44A6-99B6-F7A43CD276A8}"/>
    <hyperlink ref="N32" r:id="rId53" xr:uid="{2ED77A2F-A603-4AC9-A5B0-38E9C01D42ED}"/>
    <hyperlink ref="M33" r:id="rId54" location="/mode=instrument&amp;secid=ALLY-RM&amp;boardgroupid=1258&amp;mode_type=history&amp;date_from=2025-07-28" xr:uid="{05DBEC18-D27C-4171-A8D0-4D4558158C59}"/>
    <hyperlink ref="N33" r:id="rId55" xr:uid="{C7641B7D-081A-42B6-B13E-7074A2D48869}"/>
    <hyperlink ref="M35" r:id="rId56" location="/mode=instrument&amp;secid=GOOG-RM&amp;boardgroupid=1258&amp;mode_type=history&amp;date_from=2025-04-28" xr:uid="{06F4FA29-7880-4AB4-B235-73156CD19113}"/>
    <hyperlink ref="N35" r:id="rId57" xr:uid="{8E3278BC-697D-414F-A4A1-5999F83E208E}"/>
    <hyperlink ref="M36" r:id="rId58" location="/mode=instrument&amp;secid=AYX-RM&amp;boardgroupid=1258&amp;mode_type=history&amp;date_from=2025-07-28" xr:uid="{736E1BBE-3549-4880-A2C1-E6278E8CB858}"/>
    <hyperlink ref="N36" r:id="rId59" xr:uid="{F77E64CD-E9AD-4602-931F-C9FF62F49070}"/>
    <hyperlink ref="M37" r:id="rId60" location="/mode=instrument&amp;secid=ATUS-RM&amp;boardgroupid=1258&amp;mode_type=history&amp;date_from=2025-07-28" xr:uid="{C4FC2425-2911-4609-BC8F-0BB677F6A179}"/>
    <hyperlink ref="N37" r:id="rId61" xr:uid="{FA7FABA6-1999-4AB8-BB6C-6400A9E3E285}"/>
    <hyperlink ref="M39" r:id="rId62" location="/mode=instrument&amp;secid=AEO-RM&amp;boardgroupid=1258&amp;mode_type=history&amp;date_from=2025-07-28" xr:uid="{631F39AA-49E8-44FE-BC48-E6E4CB99EE68}"/>
    <hyperlink ref="N39" r:id="rId63" xr:uid="{68B020E0-4425-4B42-8381-CFCAB66A5EF1}"/>
    <hyperlink ref="M40" r:id="rId64" location="/mode=instrument&amp;secid=AMZN-RM&amp;boardgroupid=1258&amp;mode_type=history&amp;date_from=2025-04-28" xr:uid="{FAC5E84D-C108-4A3A-A934-A8781E97E082}"/>
    <hyperlink ref="N40" r:id="rId65" xr:uid="{7F57B6BA-02BA-493C-8558-17D0898A66BD}"/>
    <hyperlink ref="M41" r:id="rId66" location="/mode=instrument&amp;secid=AMC-RM&amp;boardgroupid=1258&amp;mode_type=history&amp;date_from=2025-07-28" xr:uid="{65031F9B-6794-42DE-837B-5C0FED408F31}"/>
    <hyperlink ref="N41" r:id="rId67" xr:uid="{27973CD6-729D-4A64-98C6-C1FA1B28D039}"/>
    <hyperlink ref="M42" r:id="rId68" location="/mode=instrument&amp;secid=AEE-RM&amp;boardgroupid=1258&amp;mode_type=history&amp;date_from=2025-07-28" xr:uid="{6A4BE702-DA74-4A46-9DCC-1E4BB57E961E}"/>
    <hyperlink ref="N42" r:id="rId69" xr:uid="{7924344D-EE55-4B11-92AD-FB126FEFF37A}"/>
    <hyperlink ref="M43" r:id="rId70" location="/mode=instrument&amp;secid=AAL-RM&amp;boardgroupid=1258&amp;mode_type=history&amp;date_from=2025-04-28" xr:uid="{D920584F-C522-40FC-B135-55A0BDAF4518}"/>
    <hyperlink ref="N43" r:id="rId71" xr:uid="{E56B27E7-DFF6-4960-97AC-10286F4BA87F}"/>
    <hyperlink ref="M44" r:id="rId72" location="/mode=instrument&amp;secid=AEP-RM&amp;boardgroupid=1258&amp;mode_type=history&amp;date_from=2025-07-28" xr:uid="{4B5A51DC-B636-4763-9ACD-9F03B327BCBA}"/>
    <hyperlink ref="N44" r:id="rId73" xr:uid="{7D5D571D-8F07-43F2-862F-26EFC3EE6E28}"/>
    <hyperlink ref="M45" r:id="rId74" location="/mode=instrument&amp;secid=AXP-RM&amp;boardgroupid=1258&amp;mode_type=history&amp;date_from=2025-07-28" xr:uid="{A89CD838-9252-41EA-BC84-A4A20487E95C}"/>
    <hyperlink ref="N45" r:id="rId75" xr:uid="{825AFD65-3FD8-45D7-ADF3-DCB93D599404}"/>
    <hyperlink ref="M46" r:id="rId76" location="/mode=instrument&amp;secid=AIG-RM&amp;boardgroupid=1258&amp;mode_type=history&amp;date_from=2025-07-28" xr:uid="{2F9B7121-7EC0-451E-BCCD-F75B04ED5AEE}"/>
    <hyperlink ref="N46" r:id="rId77" xr:uid="{62CAD089-2228-44FE-8D75-4EA3D886413A}"/>
    <hyperlink ref="M48" r:id="rId78" location="/mode=instrument&amp;secid=AWK-RM&amp;boardgroupid=1258&amp;mode_type=history&amp;date_from=2025-07-28" xr:uid="{06A523D9-6499-48EB-BBE0-FC38FEF2A160}"/>
    <hyperlink ref="N48" r:id="rId79" xr:uid="{21B51280-D3FA-4590-9075-9663B12D190C}"/>
    <hyperlink ref="M49" r:id="rId80" location="/mode=instrument&amp;secid=AMP-RM&amp;boardgroupid=1258&amp;mode_type=history&amp;date_from=2025-07-28" xr:uid="{55BCE8F3-F0BF-4905-BC48-BDEB51F91676}"/>
    <hyperlink ref="N49" r:id="rId81" xr:uid="{858EAFFB-18FA-4D17-8581-5D4C4C360C91}"/>
    <hyperlink ref="M50" r:id="rId82" location="/mode=instrument&amp;secid=AME-RM&amp;boardgroupid=1258&amp;mode_type=history&amp;date_from=2025-07-28" xr:uid="{50E9788F-22DA-471D-8A94-B3044F45859F}"/>
    <hyperlink ref="N50" r:id="rId83" xr:uid="{34AC58CA-8970-4775-8E2A-2AACA12882C6}"/>
    <hyperlink ref="M51" r:id="rId84" location="/mode=instrument&amp;secid=AMGN-RM&amp;boardgroupid=1258&amp;mode_type=history&amp;date_from=2025-04-28" xr:uid="{F2C6C2F6-A9DE-4707-9B33-BE3F4FC7E2A2}"/>
    <hyperlink ref="N51" r:id="rId85" xr:uid="{54E5B4F5-691F-4F02-AB49-78BF47A1CAB4}"/>
    <hyperlink ref="M52" r:id="rId86" location="/mode=instrument&amp;secid=FOLD-RM&amp;boardgroupid=1258&amp;mode_type=history&amp;date_from=2025-07-28" xr:uid="{3068D0CA-902D-45F2-8821-FD4AE0C1FF6A}"/>
    <hyperlink ref="N52" r:id="rId87" xr:uid="{BCFA097F-02D5-4567-91AA-1C673B471934}"/>
    <hyperlink ref="M53" r:id="rId88" location="/mode=instrument&amp;secid=APH-RM&amp;boardgroupid=1258&amp;mode_type=history&amp;date_from=2025-07-28" xr:uid="{CB1E9BD7-B3D7-4B79-8E14-CD817BEF0043}"/>
    <hyperlink ref="N53" r:id="rId89" xr:uid="{5065003B-B6D6-4DFC-99F4-7924D7C2B491}"/>
    <hyperlink ref="M54" r:id="rId90" location="/mode=instrument&amp;secid=ADI-RM&amp;boardgroupid=1258&amp;mode_type=history&amp;date_from=2025-04-28" xr:uid="{4B3FC62D-09BB-4876-8FFA-DEA66A1F0CCE}"/>
    <hyperlink ref="N54" r:id="rId91" xr:uid="{424927CC-F0B1-4708-84B5-9E69D411B6F9}"/>
    <hyperlink ref="M55" r:id="rId92" location="/mode=instrument&amp;secid=PLAN-RM&amp;boardgroupid=1258&amp;mode_type=history&amp;date_from=2025-07-28" xr:uid="{60C2F50D-8074-4514-9730-BE2B561D43D5}"/>
    <hyperlink ref="N55" r:id="rId93" xr:uid="{459577F0-89C9-4FB1-A714-2D0FD15CDE1A}"/>
    <hyperlink ref="M56" r:id="rId94" location="/mode=instrument&amp;secid=ANGI-RM&amp;boardgroupid=1258&amp;mode_type=history&amp;date_from=2025-07-28" xr:uid="{3FD75A53-D508-4774-BC36-9305C4813A9A}"/>
    <hyperlink ref="N56" r:id="rId95" xr:uid="{C3B6A2AE-93E7-4BEA-97F9-87BB6105D9A9}"/>
    <hyperlink ref="M57" r:id="rId96" location="/mode=instrument&amp;secid=ANSS-RM&amp;boardgroupid=1258&amp;mode_type=history&amp;date_from=2025-07-28" xr:uid="{9E13C3AD-2061-436B-93F0-9DFB5E49146D}"/>
    <hyperlink ref="N57" r:id="rId97" xr:uid="{0A747594-A078-4377-A193-C8FA69E35DF0}"/>
    <hyperlink ref="M58" r:id="rId98" location="/mode=instrument&amp;secid=APA-RM&amp;boardgroupid=1258&amp;mode_type=history&amp;date_from=2025-07-28" xr:uid="{4E458537-3E8A-4F8F-A970-162855ECFBE6}"/>
    <hyperlink ref="N58" r:id="rId99" xr:uid="{458E31C3-FA25-4B6E-A0FD-F8C24387F741}"/>
    <hyperlink ref="M59" r:id="rId100" location="/mode=instrument&amp;secid=APPH-RM&amp;boardgroupid=1258&amp;mode_type=history&amp;date_from=2025-07-28" xr:uid="{80FE934E-2418-4C49-B43E-270A4E1C434B}"/>
    <hyperlink ref="N59" r:id="rId101" xr:uid="{34DE9032-20A9-4ED1-A924-BF8993222654}"/>
    <hyperlink ref="M60" r:id="rId102" location="/mode=instrument&amp;secid=AAPL-RM&amp;boardgroupid=1258&amp;mode_type=history&amp;date_from=2025-04-28" xr:uid="{EC5C394B-5F17-4A52-8A33-24261631E878}"/>
    <hyperlink ref="N60" r:id="rId103" xr:uid="{690F7BBC-1110-4409-A2AF-BAC66CF8EE25}"/>
    <hyperlink ref="M62" r:id="rId104" location="/mode=instrument&amp;secid=APP-RM&amp;boardgroupid=1258&amp;mode_type=history&amp;date_from=2025-07-28" xr:uid="{AB4620FA-150B-45A8-8900-3A09D5600076}"/>
    <hyperlink ref="N62" r:id="rId105" xr:uid="{17B2716A-DF1B-40A9-BCA1-17CE5F11D0DD}"/>
    <hyperlink ref="M63" r:id="rId106" location="/mode=instrument&amp;secid=ARMK-RM&amp;boardgroupid=1258&amp;mode_type=history&amp;date_from=2025-07-28" xr:uid="{CD3F0E19-F7F5-4929-887C-237CA58202C6}"/>
    <hyperlink ref="N63" r:id="rId107" xr:uid="{BFC47044-2FF4-4204-9CFC-D5B7877873CA}"/>
    <hyperlink ref="M64" r:id="rId108" location="/mode=instrument&amp;secid=ADM-RM&amp;boardgroupid=1258&amp;mode_type=history&amp;date_from=2025-07-28" xr:uid="{9E8634A4-1BE3-4CE3-A3E8-D96AAFDBE596}"/>
    <hyperlink ref="N64" r:id="rId109" xr:uid="{82DD435D-0C05-4602-BE59-C741FEBB28A7}"/>
    <hyperlink ref="M66" r:id="rId110" location="/mode=instrument&amp;secid=ARCC-RM&amp;boardgroupid=1258&amp;mode_type=history&amp;date_from=2025-07-28" xr:uid="{9AB227B0-052B-4B5C-A78C-CE7594C41AB9}"/>
    <hyperlink ref="N66" r:id="rId111" xr:uid="{ADDE3867-9B36-4BE5-8543-6CC9C7E8BC5D}"/>
    <hyperlink ref="M67" r:id="rId112" location="/mode=instrument&amp;secid=ANET-RM&amp;boardgroupid=1258&amp;mode_type=history&amp;date_from=2025-07-28" xr:uid="{CDCC4CD1-9681-4C80-976D-AC875426F3D7}"/>
    <hyperlink ref="N67" r:id="rId113" xr:uid="{1EC3F860-7667-418D-B2C7-8C3067C48459}"/>
    <hyperlink ref="M68" r:id="rId114" location="/mode=instrument&amp;secid=AJG-RM&amp;boardgroupid=1258&amp;mode_type=history&amp;date_from=2025-07-28" xr:uid="{44FEE62B-F5B9-42F0-BC57-F8E2F8D576B1}"/>
    <hyperlink ref="N68" r:id="rId115" xr:uid="{54FF1572-D2B6-4D2A-B0CE-C89AFB1FFB75}"/>
    <hyperlink ref="M69" r:id="rId116" location="/mode=instrument&amp;secid=AIZ-RM&amp;boardgroupid=1258&amp;mode_type=history&amp;date_from=2025-07-28" xr:uid="{CA88D84C-9D47-434D-99C7-672B6FFCBE72}"/>
    <hyperlink ref="N69" r:id="rId117" xr:uid="{0AD5CD83-0FA3-4832-BAB8-AF70D37C82C7}"/>
    <hyperlink ref="M71" r:id="rId118" location="/mode=instrument&amp;secid=AT-RM&amp;boardgroupid=1258&amp;mode_type=history&amp;date_from=2025-04-28" xr:uid="{8360ECAA-F83C-4C24-A56F-5DF12470317C}"/>
    <hyperlink ref="N71" r:id="rId119" xr:uid="{6003E942-9E5E-46E1-8A3B-B785AAD6BA32}"/>
    <hyperlink ref="M72" r:id="rId120" location="/mode=instrument&amp;secid=ATO-RM&amp;boardgroupid=1258&amp;mode_type=history&amp;date_from=2025-07-28" xr:uid="{543AD728-F3C9-4EA0-B804-2159C7622A5E}"/>
    <hyperlink ref="N72" r:id="rId121" xr:uid="{14CD20B3-E415-4FC5-B494-7ECAE8162AB4}"/>
    <hyperlink ref="M73" r:id="rId122" location="/mode=instrument&amp;secid=ADSK-RM&amp;boardgroupid=1258&amp;mode_type=history&amp;date_from=2025-07-28" xr:uid="{B7F571ED-0522-4F97-B366-6649727BC77F}"/>
    <hyperlink ref="N73" r:id="rId123" xr:uid="{6A342E71-4C30-4496-A3FE-7BCCAE0490A4}"/>
    <hyperlink ref="M74" r:id="rId124" location="/mode=instrument&amp;secid=ADP-RM&amp;boardgroupid=1258&amp;mode_type=history&amp;date_from=2025-07-28" xr:uid="{8508A792-6CDB-4657-8EA4-B1C2DBED3F8D}"/>
    <hyperlink ref="N74" r:id="rId125" xr:uid="{DEDCD55D-1BD5-4382-B091-7252B01B0F39}"/>
    <hyperlink ref="M75" r:id="rId126" location="/mode=instrument&amp;secid=AZO-RM&amp;boardgroupid=1258&amp;mode_type=history&amp;date_from=2025-07-28" xr:uid="{996963C1-4CC2-43A6-A999-4F4837D861ED}"/>
    <hyperlink ref="N75" r:id="rId127" xr:uid="{5F81D77C-2EF3-4690-A05B-99540CCE8FEA}"/>
    <hyperlink ref="M76" r:id="rId128" location="/mode=instrument&amp;secid=AVTR-RM&amp;boardgroupid=1258&amp;mode_type=history&amp;date_from=2025-07-28" xr:uid="{2C58CE42-FF58-4861-BC79-DF6C7DDD25A0}"/>
    <hyperlink ref="N76" r:id="rId129" xr:uid="{75F58D1B-D82D-41CC-B55F-6ADE4613C8B2}"/>
    <hyperlink ref="M77" r:id="rId130" location="/mode=instrument&amp;secid=AVY-RM&amp;boardgroupid=1258&amp;mode_type=history&amp;date_from=2025-07-28" xr:uid="{81DF638E-D6B6-42A4-9D79-A75716F919DB}"/>
    <hyperlink ref="N77" r:id="rId131" xr:uid="{0F5DA343-3438-4977-9D92-2EDA32C5BC93}"/>
    <hyperlink ref="M79" r:id="rId132" location="/mode=instrument&amp;secid=BGS-RM&amp;boardgroupid=1258&amp;mode_type=history&amp;date_from=2025-07-28" xr:uid="{7F61FF83-9092-495F-B318-45524B886E4D}"/>
    <hyperlink ref="N79" r:id="rId133" xr:uid="{E77A5117-A759-43D5-9DDB-81BB42ED2898}"/>
    <hyperlink ref="M80" r:id="rId134" location="/mode=instrument&amp;secid=BKR-RM&amp;boardgroupid=1258&amp;mode_type=history&amp;date_from=2025-07-28" xr:uid="{F2ADBDEE-FB52-48FE-9B6E-E6BE1C7F0C89}"/>
    <hyperlink ref="N80" r:id="rId135" xr:uid="{85418D7C-43B9-4C95-80AB-3B0C46B3E644}"/>
    <hyperlink ref="M81" r:id="rId136" location="/mode=instrument&amp;secid=BALL-RM&amp;boardgroupid=1258&amp;mode_type=history&amp;date_from=2025-07-28" xr:uid="{A59EA4FD-FCE4-4AD1-84C7-031556646208}"/>
    <hyperlink ref="N81" r:id="rId137" xr:uid="{85E7B0AF-0C91-4C7C-94A0-6876517FD5DC}"/>
    <hyperlink ref="M82" r:id="rId138" location="/mode=instrument&amp;secid=BAC-RM&amp;boardgroupid=1258&amp;mode_type=history&amp;date_from=2025-04-28" xr:uid="{1875CC54-4485-4CD4-BD73-9FB630DD89D9}"/>
    <hyperlink ref="N82" r:id="rId139" xr:uid="{81A58C54-D7AF-4624-B6AE-1E5C268F67AB}"/>
    <hyperlink ref="M86" r:id="rId140" location="/mode=instrument&amp;secid=BBWI-RM&amp;boardgroupid=1258&amp;mode_type=history&amp;date_from=2025-07-28" xr:uid="{684819BA-1699-4D71-82FC-55E2CEB47697}"/>
    <hyperlink ref="N86" r:id="rId141" xr:uid="{358A6722-95C2-4E5B-81A2-C17CA9A35A57}"/>
    <hyperlink ref="M87" r:id="rId142" location="/mode=instrument&amp;secid=BAX-RM&amp;boardgroupid=1258&amp;mode_type=history&amp;date_from=2025-07-28" xr:uid="{99F14065-FA4E-4D98-A29E-2966DEA7B62C}"/>
    <hyperlink ref="N87" r:id="rId143" xr:uid="{170FCDE9-7ACD-4D1C-9CA1-40EFF9EE798E}"/>
    <hyperlink ref="M89" r:id="rId144" location="/mode=instrument&amp;secid=BDX-RM&amp;boardgroupid=1258&amp;mode_type=history&amp;date_from=2025-07-28" xr:uid="{DCFD4FF3-EB91-4F1F-BACF-ED428D0FC5F2}"/>
    <hyperlink ref="N89" r:id="rId145" xr:uid="{D9EE70C8-326C-49CE-9FA1-CD2A9649576F}"/>
    <hyperlink ref="M90" r:id="rId146" location="/mode=instrument&amp;secid=BBBY-RM&amp;boardgroupid=1258&amp;mode_type=history&amp;date_from=2025-07-28" xr:uid="{0A843B5C-1E9B-4F1F-9B84-C542610A31A1}"/>
    <hyperlink ref="N90" r:id="rId147" xr:uid="{707E0573-6A63-463C-B381-EB20C451C040}"/>
    <hyperlink ref="M91" r:id="rId148" location="/mode=instrument&amp;secid=BRKB-RM&amp;boardgroupid=1258&amp;mode_type=history&amp;date_from=2025-04-28" xr:uid="{26417C49-607F-49D9-9D69-3CA67EA0091F}"/>
    <hyperlink ref="N91" r:id="rId149" xr:uid="{3D471210-D53D-4DC6-8606-87777424DB60}"/>
    <hyperlink ref="M92" r:id="rId150" location="/mode=instrument&amp;secid=BBY-RM&amp;boardgroupid=1258&amp;mode_type=history&amp;date_from=2025-07-28" xr:uid="{0F536201-2C37-4E6C-8C08-47B58EE9CE3A}"/>
    <hyperlink ref="N92" r:id="rId151" xr:uid="{541FE637-4D86-4C7A-9A2E-500D1C71FCC6}"/>
    <hyperlink ref="M93" r:id="rId152" location="/mode=instrument&amp;secid=BYND-RM&amp;boardgroupid=1258&amp;mode_type=history&amp;date_from=2025-07-28" xr:uid="{A473D7A9-660A-45D1-A862-30437B4B8C71}"/>
    <hyperlink ref="N93" r:id="rId153" xr:uid="{3243B641-A760-4A39-996B-B8C78667DC59}"/>
    <hyperlink ref="M95" r:id="rId154" location="/mode=instrument&amp;secid=BILL-RM&amp;boardgroupid=1258&amp;mode_type=history&amp;date_from=2025-07-28" xr:uid="{5E3EA7C2-77B4-4832-9C4C-2F8FD6E97E2D}"/>
    <hyperlink ref="N95" r:id="rId155" xr:uid="{50839A96-F9B1-476D-87E6-F85BEB75B14D}"/>
    <hyperlink ref="M96" r:id="rId156" location="/mode=instrument&amp;secid=BIIB-RM&amp;boardgroupid=1258&amp;mode_type=history&amp;date_from=2025-04-28" xr:uid="{8C738AC1-0D4A-493F-A81A-222F2675780D}"/>
    <hyperlink ref="N96" r:id="rId157" xr:uid="{48E975AD-3ADE-4CAD-9DCB-F192DCA24F0C}"/>
    <hyperlink ref="M98" r:id="rId158" location="/mode=instrument&amp;secid=BNGO-RM&amp;boardgroupid=1258&amp;mode_type=history&amp;date_from=2025-07-28" xr:uid="{DE6B5750-5533-4906-AF48-AB3A9BF7188F}"/>
    <hyperlink ref="N98" r:id="rId159" xr:uid="{280F2747-2F10-479B-8EB7-21A2BCB2707A}"/>
    <hyperlink ref="M99" r:id="rId160" location="/mode=instrument&amp;secid=BIO-RM&amp;boardgroupid=1258&amp;mode_type=history&amp;date_from=2025-07-28" xr:uid="{2F65F203-3E51-4EBA-B011-7E0EE727DF11}"/>
    <hyperlink ref="N99" r:id="rId161" xr:uid="{736854BA-19C9-43AE-98CE-AD9F135372EC}"/>
    <hyperlink ref="M101" r:id="rId162" location="/mode=instrument&amp;secid=BJ-RM&amp;boardgroupid=1258&amp;mode_type=history&amp;date_from=2025-07-28" xr:uid="{C4307679-AB5D-45E5-917E-D5C9A7CBDC6D}"/>
    <hyperlink ref="N101" r:id="rId163" xr:uid="{C4520681-3332-4A63-B1EB-3D8A8F7F12E5}"/>
    <hyperlink ref="M103" r:id="rId164" location="/mode=instrument&amp;secid=BLK-RM&amp;boardgroupid=1258&amp;mode_type=history&amp;date_from=2025-07-28" xr:uid="{452E7A78-34AE-4987-8D34-03343C3BA8E4}"/>
    <hyperlink ref="N103" r:id="rId165" xr:uid="{040F2968-C203-41ED-B83A-C1379F02C7BC}"/>
    <hyperlink ref="M104" r:id="rId166" location="/mode=instrument&amp;secid=BX-RM&amp;boardgroupid=1258&amp;mode_type=history&amp;date_from=2025-07-28" xr:uid="{97420191-3052-4C2A-BCE6-A5927B82F5BC}"/>
    <hyperlink ref="N104" r:id="rId167" xr:uid="{EC1568D5-E1AA-4AC2-9D51-338020F2F9D7}"/>
    <hyperlink ref="M105" r:id="rId168" location="/mode=instrument&amp;secid=BLNK-RM&amp;boardgroupid=1258&amp;mode_type=history&amp;date_from=2025-07-28" xr:uid="{26E04AD6-AAA8-4B1C-AF2E-B879A29EAF4C}"/>
    <hyperlink ref="N105" r:id="rId169" xr:uid="{CCB07088-AF18-4F5B-9502-373F27DAF9FB}"/>
    <hyperlink ref="M106" r:id="rId170" location="/mode=instrument&amp;secid=SQ-RM&amp;boardgroupid=1258&amp;mode_type=history&amp;date_from=2025-04-28" xr:uid="{DF74CD45-EA06-49F7-85C6-1D8520C7270B}"/>
    <hyperlink ref="N106" r:id="rId171" xr:uid="{72F48A53-AF71-456D-8A74-C5E9F52696B7}"/>
    <hyperlink ref="M107" r:id="rId172" location="/mode=instrument&amp;secid=BLMN-RM&amp;boardgroupid=1258&amp;mode_type=history&amp;date_from=2025-07-28" xr:uid="{C15234DB-DE46-4124-977D-80366A87EE4C}"/>
    <hyperlink ref="N107" r:id="rId173" xr:uid="{2E95EB8F-BC03-47EA-AB09-96C41926200C}"/>
    <hyperlink ref="M108" r:id="rId174" location="/mode=instrument&amp;secid=BLUE-RM&amp;boardgroupid=1258&amp;mode_type=history&amp;date_from=2025-07-28" xr:uid="{7887F789-7AB6-4E86-A515-AD10E1F6B7AA}"/>
    <hyperlink ref="N108" r:id="rId175" xr:uid="{950556ED-9EA2-4165-9A40-EEC364A0F4EF}"/>
    <hyperlink ref="M110" r:id="rId176" location="/mode=instrument&amp;secid=BKNG-RM&amp;boardgroupid=1258&amp;mode_type=history&amp;date_from=2025-04-28" xr:uid="{5FB80477-F89B-463A-BB24-92E0639157C4}"/>
    <hyperlink ref="N110" r:id="rId177" xr:uid="{35AC6592-33B7-4A78-9C28-2DF55678FD7E}"/>
    <hyperlink ref="M112" r:id="rId178" location="/mode=instrument&amp;secid=BWA-RM&amp;boardgroupid=1258&amp;mode_type=history&amp;date_from=2025-07-28" xr:uid="{2C6D3B3B-8A0B-41B2-A7CD-E159DC1CE3AE}"/>
    <hyperlink ref="N112" r:id="rId179" xr:uid="{DA3414D4-DEE5-436F-9E27-AA4F5CDD9342}"/>
    <hyperlink ref="M113" r:id="rId180" location="/mode=instrument&amp;secid=BSX-RM&amp;boardgroupid=1258&amp;mode_type=history&amp;date_from=2025-07-28" xr:uid="{F9ADAC0F-6CC1-43D5-AC4A-049AB595C8DF}"/>
    <hyperlink ref="N113" r:id="rId181" xr:uid="{DBD7E65D-4A8F-44C0-BEAA-48484E803FA7}"/>
    <hyperlink ref="M114" r:id="rId182" location="/mode=instrument&amp;secid=BOX-RM&amp;boardgroupid=1258&amp;mode_type=history&amp;date_from=2025-07-28" xr:uid="{325C8F40-2341-4F24-AC26-9548196A2A58}"/>
    <hyperlink ref="N114" r:id="rId183" xr:uid="{15CB0EFA-DD09-49BF-8C7E-7A6767BC5A86}"/>
    <hyperlink ref="M115" r:id="rId184" location="/mode=instrument&amp;secid=BMY-RM&amp;boardgroupid=1258&amp;mode_type=history&amp;date_from=2025-04-28" xr:uid="{188C26A7-C01B-49E3-A9A9-11B76942D0EC}"/>
    <hyperlink ref="N115" r:id="rId185" xr:uid="{B44A87F4-06E9-4856-B6E7-88754246F86C}"/>
    <hyperlink ref="M117" r:id="rId186" location="/mode=instrument&amp;secid=AVGO-RM&amp;boardgroupid=1258&amp;mode_type=history&amp;date_from=2025-04-28" xr:uid="{AB70734B-D785-428C-9C8A-28606EC55B24}"/>
    <hyperlink ref="N117" r:id="rId187" xr:uid="{AFF32053-68D5-447A-A7B4-F7E5E5D4F70C}"/>
    <hyperlink ref="M118" r:id="rId188" location="/mode=instrument&amp;secid=BR-RM&amp;boardgroupid=1258&amp;mode_type=history&amp;date_from=2025-07-28" xr:uid="{17C1A1FB-FD2C-48F1-9135-63CBCA7A5C62}"/>
    <hyperlink ref="N118" r:id="rId189" xr:uid="{80835572-451D-4298-9F77-B5E5A95A25EF}"/>
    <hyperlink ref="M119" r:id="rId190" location="/mode=instrument&amp;secid=BFB-RM&amp;boardgroupid=1258&amp;mode_type=history&amp;date_from=2025-07-28" xr:uid="{AE0A6BD3-7CD8-4524-A7C8-83BAF7C27080}"/>
    <hyperlink ref="N119" r:id="rId191" xr:uid="{CA6B46B4-668A-4F1D-BD5E-EE1E87B49E2A}"/>
    <hyperlink ref="M120" r:id="rId192" location="/mode=instrument&amp;secid=BLDR-RM&amp;boardgroupid=1258&amp;mode_type=history&amp;date_from=2025-07-28" xr:uid="{FE51E155-53DB-4915-8BD6-B50B448C1444}"/>
    <hyperlink ref="N120" r:id="rId193" xr:uid="{09D81A3A-6B86-4FCB-BC47-7801F6028DD2}"/>
    <hyperlink ref="M121" r:id="rId194" location="/mode=instrument&amp;secid=CHRW-RM&amp;boardgroupid=1258&amp;mode_type=history&amp;date_from=2025-07-28" xr:uid="{125C1FCD-6A4A-4011-9775-762C1B616A89}"/>
    <hyperlink ref="N121" r:id="rId195" xr:uid="{203CB0B0-4E22-4782-A5F1-A77D4BE95ACD}"/>
    <hyperlink ref="M122" r:id="rId196" location="/mode=instrument&amp;secid=CDNS-RM&amp;boardgroupid=1258&amp;mode_type=history&amp;date_from=2025-04-28" xr:uid="{F4C373B8-CF35-469D-A9FD-947896B3C944}"/>
    <hyperlink ref="N122" r:id="rId197" xr:uid="{5FC3AB9F-8C37-43C4-956E-CA1508D342DF}"/>
    <hyperlink ref="M123" r:id="rId198" location="/mode=instrument&amp;secid=CZR-RM&amp;boardgroupid=1258&amp;mode_type=history&amp;date_from=2025-07-28" xr:uid="{19D9E0AF-5375-4BD7-99B8-44A72AFDE780}"/>
    <hyperlink ref="N123" r:id="rId199" xr:uid="{42074CDD-A12D-4241-AF5E-77DAAE5BD217}"/>
    <hyperlink ref="M125" r:id="rId200" location="/mode=instrument&amp;secid=CPB-RM&amp;boardgroupid=1258&amp;mode_type=history&amp;date_from=2025-07-28" xr:uid="{61C70DE1-486F-45DF-A55F-5B5BBC978C00}"/>
    <hyperlink ref="N125" r:id="rId201" xr:uid="{11699059-5B41-4C77-BDDF-83D07D39F880}"/>
    <hyperlink ref="M126" r:id="rId202" location="/mode=instrument&amp;secid=COF-RM&amp;boardgroupid=1258&amp;mode_type=history&amp;date_from=2025-07-28" xr:uid="{FA4E7BCD-EDF9-452C-99C8-B0F541ACE22E}"/>
    <hyperlink ref="N126" r:id="rId203" xr:uid="{67600706-C50B-4C75-BF91-2A29FF71E1C5}"/>
    <hyperlink ref="M127" r:id="rId204" location="/mode=instrument&amp;secid=CARA-RM&amp;boardgroupid=1258&amp;mode_type=history&amp;date_from=2025-07-28" xr:uid="{400CFF10-D880-450B-96C6-7E1E2991B4A2}"/>
    <hyperlink ref="N127" r:id="rId205" xr:uid="{6E076978-7174-4EEF-9BBA-6D88715DAC72}"/>
    <hyperlink ref="M128" r:id="rId206" location="/mode=instrument&amp;secid=CAH-RM&amp;boardgroupid=1258&amp;mode_type=history&amp;date_from=2025-07-28" xr:uid="{BD214F9B-B41A-4838-AB64-59CE9A95EC3B}"/>
    <hyperlink ref="N128" r:id="rId207" xr:uid="{52C1FA9A-95FE-40CD-89D6-1BB97EB093FA}"/>
    <hyperlink ref="M129" r:id="rId208" location="/mode=instrument&amp;secid=CARG-RM&amp;boardgroupid=1258&amp;mode_type=history&amp;date_from=2025-07-28" xr:uid="{DC775302-B8C0-496E-88DF-FDCB6BABD016}"/>
    <hyperlink ref="N129" r:id="rId209" xr:uid="{3EAE5605-9340-4602-9724-43F4223ABCF4}"/>
    <hyperlink ref="M131" r:id="rId210" location="/mode=instrument&amp;secid=KMX-RM&amp;boardgroupid=1258&amp;mode_type=history&amp;date_from=2025-07-28" xr:uid="{74B93017-EB50-4C56-B7D5-BA4E4595C4CB}"/>
    <hyperlink ref="N131" r:id="rId211" xr:uid="{690801B3-AB90-48E6-89E7-BF1ECD92BE4B}"/>
    <hyperlink ref="M133" r:id="rId212" location="/mode=instrument&amp;secid=PRTS-RM&amp;boardgroupid=1258&amp;mode_type=history&amp;date_from=2025-07-28" xr:uid="{806527B9-819B-44F8-B115-CD42B0FAE087}"/>
    <hyperlink ref="N133" r:id="rId213" xr:uid="{E74381A5-4F14-4B01-8642-B3DC987FCE1A}"/>
    <hyperlink ref="M134" r:id="rId214" location="/mode=instrument&amp;secid=CARR-RM&amp;boardgroupid=1258&amp;mode_type=history&amp;date_from=2025-07-28" xr:uid="{A29905AF-78B4-451A-8FA6-35882710DAF1}"/>
    <hyperlink ref="N134" r:id="rId215" xr:uid="{B5AFB307-6DB0-446F-8BEF-AB9AD936F447}"/>
    <hyperlink ref="M135" r:id="rId216" location="/mode=instrument&amp;secid=CVNA-RM&amp;boardgroupid=1258&amp;mode_type=history&amp;date_from=2025-07-28" xr:uid="{30AC5DF8-BE70-413C-9005-0D88AE90D81D}"/>
    <hyperlink ref="N135" r:id="rId217" xr:uid="{5F9F3EC2-0680-464F-B624-827A3DCDB4BB}"/>
    <hyperlink ref="M136" r:id="rId218" location="/mode=instrument&amp;secid=SAVA-RM&amp;boardgroupid=1258&amp;mode_type=history&amp;date_from=2025-07-28" xr:uid="{89C91B36-DCBA-45BF-87AA-BAD78C7D6729}"/>
    <hyperlink ref="N136" r:id="rId219" xr:uid="{964F3B74-2055-4ABA-8D84-0423EF1526F9}"/>
    <hyperlink ref="M137" r:id="rId220" location="/mode=instrument&amp;secid=CTLT-RM&amp;boardgroupid=1258&amp;mode_type=history&amp;date_from=2025-07-28" xr:uid="{A38C8BD6-1C80-468C-9DE9-504F5EEAE36B}"/>
    <hyperlink ref="N137" r:id="rId221" xr:uid="{7C8B091D-2130-4F19-8E1D-BEEEB924C2E9}"/>
    <hyperlink ref="M139" r:id="rId222" location="/mode=instrument&amp;secid=CDW-RM&amp;boardgroupid=1258&amp;mode_type=history&amp;date_from=2025-07-28" xr:uid="{16600D3A-690B-4253-A867-4947BAC828A2}"/>
    <hyperlink ref="N139" r:id="rId223" xr:uid="{3854E28B-4AFA-4E13-A697-747C9B1E4AF9}"/>
    <hyperlink ref="M140" r:id="rId224" location="/mode=instrument&amp;secid=CE-RM&amp;boardgroupid=1258&amp;mode_type=history&amp;date_from=2025-07-28" xr:uid="{F39AAB08-DEE8-427F-AD70-8A2C7FD9ADC6}"/>
    <hyperlink ref="N140" r:id="rId225" xr:uid="{F1DDD7C2-B158-4CF0-9DC5-ECA568E80363}"/>
    <hyperlink ref="M141" r:id="rId226" location="/mode=instrument&amp;secid=ABC-RM&amp;boardgroupid=1258&amp;mode_type=history&amp;date_from=2025-07-28" xr:uid="{D44DA0E5-94B0-4074-8925-0A2E4B2EB5DA}"/>
    <hyperlink ref="N141" r:id="rId227" xr:uid="{D2656A69-B935-44AC-AE67-054C93743509}"/>
    <hyperlink ref="M142" r:id="rId228" location="/mode=instrument&amp;secid=CNC-RM&amp;boardgroupid=1258&amp;mode_type=history&amp;date_from=2025-07-28" xr:uid="{F77DE004-2691-47DD-8167-8957A11375F0}"/>
    <hyperlink ref="N142" r:id="rId229" xr:uid="{C955B0D0-2B78-47CE-AFE7-672F56958158}"/>
    <hyperlink ref="M143" r:id="rId230" location="/mode=instrument&amp;secid=CNP-RM&amp;boardgroupid=1258&amp;mode_type=history&amp;date_from=2025-07-28" xr:uid="{2FA4D063-9C54-4C9B-8EA3-F8BBE12DDEBA}"/>
    <hyperlink ref="N143" r:id="rId231" xr:uid="{6CD8EADB-DDB0-44EA-80F7-EBC7E96399DB}"/>
    <hyperlink ref="M144" r:id="rId232" location="/mode=instrument&amp;secid=CERN-RM&amp;boardgroupid=1258&amp;mode_type=history&amp;date_from=2025-07-28" xr:uid="{ABFF2F3A-4A04-48FA-9FC8-C17264D400FC}"/>
    <hyperlink ref="N144" r:id="rId233" xr:uid="{147E5487-2D33-4305-91BD-47B7F797E831}"/>
    <hyperlink ref="M145" r:id="rId234" location="/mode=instrument&amp;secid=CF-RM&amp;boardgroupid=1258&amp;mode_type=history&amp;date_from=2025-07-28" xr:uid="{B7D680C7-0B65-4093-82B0-4ED69EC1DDFF}"/>
    <hyperlink ref="N145" r:id="rId235" xr:uid="{6DC8D26D-EC0E-4059-89BF-570D00C4BB92}"/>
    <hyperlink ref="M146" r:id="rId236" location="/mode=instrument&amp;secid=CHX-RM&amp;boardgroupid=1258&amp;mode_type=history&amp;date_from=2025-07-28" xr:uid="{B69AA1FA-E8EB-485C-86EE-795C6D098CEF}"/>
    <hyperlink ref="N146" r:id="rId237" xr:uid="{8F691BEF-267A-4A62-85BF-B26060F4F4A8}"/>
    <hyperlink ref="M147" r:id="rId238" location="/mode=instrument&amp;secid=CHNG-RM&amp;boardgroupid=1258&amp;mode_type=history&amp;date_from=2025-07-28" xr:uid="{1C9B33E8-ABF3-4B33-8FA2-01A4B4C261BD}"/>
    <hyperlink ref="N147" r:id="rId239" xr:uid="{8CBA1C53-E9D6-4E25-8D13-3F802BFF299B}"/>
    <hyperlink ref="M148" r:id="rId240" location="/mode=instrument&amp;secid=CRL-RM&amp;boardgroupid=1258&amp;mode_type=history&amp;date_from=2025-07-28" xr:uid="{B8BF7FDB-C76D-43CA-BF27-CB4CA69D459E}"/>
    <hyperlink ref="N148" r:id="rId241" xr:uid="{3F92E2C3-1528-49B7-A1E9-7FC5BA1449D5}"/>
    <hyperlink ref="M149" r:id="rId242" location="/mode=instrument&amp;secid=CHTR-RM&amp;boardgroupid=1258&amp;mode_type=history&amp;date_from=2025-07-28" xr:uid="{F90AF93B-7546-44CA-B039-44C6315D5343}"/>
    <hyperlink ref="N149" r:id="rId243" xr:uid="{08DC1A9A-F28C-4387-AD99-A729A8DF5C59}"/>
    <hyperlink ref="M151" r:id="rId244" location="/mode=instrument&amp;secid=CHGG-RM&amp;boardgroupid=1258&amp;mode_type=history&amp;date_from=2025-07-28" xr:uid="{512E9E00-6940-4E7E-8A85-8604ECC38032}"/>
    <hyperlink ref="N151" r:id="rId245" xr:uid="{5C5C10B6-3861-40AB-A39E-3C5C04DF65CF}"/>
    <hyperlink ref="M152" r:id="rId246" location="/mode=instrument&amp;secid=CCXI-RM&amp;boardgroupid=1258&amp;mode_type=history&amp;date_from=2025-07-28" xr:uid="{7E6304B3-5339-4D9D-84E9-4E483F1FB6DD}"/>
    <hyperlink ref="N152" r:id="rId247" xr:uid="{03A9DE7A-7F0E-4ACF-B952-F735E1BAD919}"/>
    <hyperlink ref="M153" r:id="rId248" location="/mode=instrument&amp;secid=CC-RM&amp;boardgroupid=1258&amp;mode_type=history&amp;date_from=2025-07-28" xr:uid="{313A36FC-CC91-4B6A-957E-B24886E790F1}"/>
    <hyperlink ref="N153" r:id="rId249" xr:uid="{1B1B8566-DA33-476E-A995-AB89D58FF0C7}"/>
    <hyperlink ref="M154" r:id="rId250" location="/mode=instrument&amp;secid=CVX-RM&amp;boardgroupid=1258&amp;mode_type=history&amp;date_from=2025-04-28" xr:uid="{0400C169-5623-4C56-8B1A-DADD27889B4B}"/>
    <hyperlink ref="N154" r:id="rId251" xr:uid="{4E1F84F1-730D-4B8B-8E1B-B85005AF5C37}"/>
    <hyperlink ref="M155" r:id="rId252" location="/mode=instrument&amp;secid=CHWY-RM&amp;boardgroupid=1258&amp;mode_type=history&amp;date_from=2025-07-28" xr:uid="{0ADDCF02-D502-44D5-A20B-097B3D7C6BE3}"/>
    <hyperlink ref="N155" r:id="rId253" xr:uid="{63B9B7FB-978F-4B9E-8A56-284FBB5D30D7}"/>
    <hyperlink ref="M156" r:id="rId254" location="/mode=instrument&amp;secid=CMG-RM&amp;boardgroupid=1258&amp;mode_type=history&amp;date_from=2025-07-28" xr:uid="{417D6F97-C1A0-4AFA-A9AC-7B72200F5960}"/>
    <hyperlink ref="N156" r:id="rId255" xr:uid="{9196195E-FB34-4376-A6B1-241E7179C618}"/>
    <hyperlink ref="M157" r:id="rId256" location="/mode=instrument&amp;secid=CHD-RM&amp;boardgroupid=1258&amp;mode_type=history&amp;date_from=2025-07-28" xr:uid="{1B5114A2-AED8-48B3-8E31-307B216C8FA7}"/>
    <hyperlink ref="N157" r:id="rId257" xr:uid="{4DD63BF0-31D6-45A0-A4A9-1486E628BD95}"/>
    <hyperlink ref="M158" r:id="rId258" location="/mode=instrument&amp;secid=CINF-RM&amp;boardgroupid=1258&amp;mode_type=history&amp;date_from=2025-07-28" xr:uid="{C26C115A-1098-4971-A941-18832A705333}"/>
    <hyperlink ref="N158" r:id="rId259" xr:uid="{655A896C-A1F7-4F10-B8DF-C013364A33DC}"/>
    <hyperlink ref="M159" r:id="rId260" location="/mode=instrument&amp;secid=CNK-RM&amp;boardgroupid=1258&amp;mode_type=history&amp;date_from=2025-04-28" xr:uid="{43BA01CB-B113-4F28-B40B-8EDE17B88334}"/>
    <hyperlink ref="N159" r:id="rId261" xr:uid="{C97DFEAD-2E9A-4552-B03D-9A4793610B39}"/>
    <hyperlink ref="M160" r:id="rId262" location="/mode=instrument&amp;secid=CTAS-RM&amp;mode_type=history&amp;date_from=2025-10-19&amp;date_till=2025-11-19" xr:uid="{B3285C9B-443B-4937-94CB-22B05BABAA89}"/>
    <hyperlink ref="N160" r:id="rId263" xr:uid="{D1F8AE35-1C36-476D-B419-DCFD436A9C5D}"/>
    <hyperlink ref="M161" r:id="rId264" location="/mode=instrument&amp;secid=CSCO-RM&amp;boardgroupid=1258&amp;mode_type=history&amp;date_from=2025-04-28" xr:uid="{1FD3E660-2D8A-41A1-8668-2CA9D2F5025B}"/>
    <hyperlink ref="N161" r:id="rId265" xr:uid="{8F02C537-EED5-42DC-A301-913E822D8B61}"/>
    <hyperlink ref="M162" r:id="rId266" location="/mode=instrument&amp;secid=C-RM&amp;boardgroupid=1258&amp;mode_type=history&amp;date_from=2025-04-28" xr:uid="{EA3440DF-8DEE-4457-9ED0-37B1EB42B9CE}"/>
    <hyperlink ref="N162" r:id="rId267" xr:uid="{2BACCD80-C23A-49D2-9A78-4D5A9EAE940B}"/>
    <hyperlink ref="M163" r:id="rId268" location="/mode=instrument&amp;secid=CFG-RM&amp;boardgroupid=1258&amp;mode_type=history&amp;date_from=2025-07-28" xr:uid="{090A8F01-6872-40DD-B92B-8DB6C2941B94}"/>
    <hyperlink ref="N163" r:id="rId269" xr:uid="{6B8EAFA5-1279-4638-8B37-CC5E7A206C78}"/>
    <hyperlink ref="M164" r:id="rId270" location="/mode=instrument&amp;secid=CTXS-RM&amp;boardgroupid=1258&amp;mode_type=history&amp;date_from=2025-07-28" xr:uid="{C9369948-97CF-453F-B5E9-E9EB8A998000}"/>
    <hyperlink ref="N164" r:id="rId271" xr:uid="{4FD0E7C2-4CC5-4E77-BAF7-1CD9129B1C48}"/>
    <hyperlink ref="M165" r:id="rId272" location="/mode=instrument&amp;secid=CLSK-RM&amp;boardgroupid=1258&amp;mode_type=history&amp;date_from=2025-07-28" xr:uid="{5A9A972A-13E8-4768-BD84-2137E6CC32A5}"/>
    <hyperlink ref="N165" r:id="rId273" xr:uid="{4BA0160D-AC5E-4FD4-A04E-D04E5E8884FD}"/>
    <hyperlink ref="M166" r:id="rId274" location="/mode=instrument&amp;secid=CLF-RM&amp;boardgroupid=1258&amp;mode_type=history&amp;date_from=2025-07-28" xr:uid="{FAE0C8B8-7254-499A-8CFC-838DBBF3A401}"/>
    <hyperlink ref="N166" r:id="rId275" xr:uid="{D3487780-0463-4FCB-BB61-E5AAF1666C84}"/>
    <hyperlink ref="M167" r:id="rId276" location="/mode=instrument&amp;secid=CLX-RM&amp;boardgroupid=1258&amp;mode_type=history&amp;date_from=2025-07-28" xr:uid="{8797B2F1-8787-4262-9429-FE8B88D3A5E3}"/>
    <hyperlink ref="N167" r:id="rId277" xr:uid="{535AECCE-FE78-4504-B154-D5EC1B549390}"/>
    <hyperlink ref="M168" r:id="rId278" location="/mode=instrument&amp;secid=NET-RM&amp;boardgroupid=1258&amp;mode_type=history&amp;date_from=2025-07-28" xr:uid="{2A88D52A-24BF-4C84-8A98-BBB9026208A1}"/>
    <hyperlink ref="N168" r:id="rId279" xr:uid="{5089164B-D59F-4C45-B61C-6B97FB95F817}"/>
    <hyperlink ref="M169" r:id="rId280" location="/mode=instrument&amp;secid=CLOV-RM&amp;boardgroupid=1258&amp;mode_type=history&amp;date_from=2025-04-28" xr:uid="{98D1D7E7-0035-4EC2-ABA7-7971D532CEFF}"/>
    <hyperlink ref="N169" r:id="rId281" xr:uid="{FF6C2144-9ACF-41A6-9E85-8134CDDE1049}"/>
    <hyperlink ref="M170" r:id="rId282" location="/mode=instrument&amp;secid=CME-RM&amp;boardgroupid=1258&amp;mode_type=history&amp;date_from=2025-07-28" xr:uid="{5593A7E8-B890-4467-A052-8AA59B30A9DA}"/>
    <hyperlink ref="N170" r:id="rId283" xr:uid="{5E06578B-4E3E-4505-B90C-877E7B1C3F96}"/>
    <hyperlink ref="M171" r:id="rId284" location="/mode=instrument&amp;secid=CMS-RM&amp;boardgroupid=1258&amp;mode_type=history&amp;date_from=2025-07-28" xr:uid="{F99A7607-61FF-43A1-98B6-5B831DC7BCB5}"/>
    <hyperlink ref="N171" r:id="rId285" xr:uid="{A3732F43-BC5D-4859-8629-09053DB2A309}"/>
    <hyperlink ref="M172" r:id="rId286" location="/mode=instrument&amp;secid=CNX-RM&amp;boardgroupid=1258&amp;mode_type=history&amp;date_from=2025-07-28" xr:uid="{5E49C396-B9CE-4218-889F-3DBF309BB938}"/>
    <hyperlink ref="N172" r:id="rId287" xr:uid="{BE58D5CF-A1AD-4837-BF82-257FBABDB544}"/>
    <hyperlink ref="M173" r:id="rId288" location="/mode=instrument&amp;secid=KO-RM&amp;boardgroupid=1258&amp;mode_type=history&amp;date_from=2025-04-28" xr:uid="{2DAA93AF-B2CC-4B1B-A31A-87B9355E93EF}"/>
    <hyperlink ref="N173" r:id="rId289" xr:uid="{32B19B4E-EA1D-42DB-95A1-7E42C39DA0A4}"/>
    <hyperlink ref="M174" r:id="rId290" location="/mode=instrument&amp;secid=CTSH-RM&amp;boardgroupid=1258&amp;mode_type=history&amp;date_from=2025-07-28" xr:uid="{37FA0762-0BC2-4789-BC32-F75AB2C5A5B5}"/>
    <hyperlink ref="N174" r:id="rId291" xr:uid="{FC056E23-2A74-403E-A8F3-C73EBFE86AF0}"/>
    <hyperlink ref="M175" r:id="rId292" location="/mode=instrument&amp;secid=COHR-RM&amp;boardgroupid=1258&amp;mode_type=history&amp;date_from=2025-07-28" xr:uid="{D6ADDE3E-44C3-4AE4-99CC-66CBDAD23B58}"/>
    <hyperlink ref="N175" r:id="rId293" xr:uid="{A68E7689-C694-4FB5-B75B-8256E9CE88A9}"/>
    <hyperlink ref="M177" r:id="rId294" location="/mode=instrument&amp;secid=CL-RM&amp;boardgroupid=1258&amp;mode_type=history&amp;date_from=2025-07-28" xr:uid="{0F221DAB-DE4C-4782-8A63-5984C4189A70}"/>
    <hyperlink ref="N177" r:id="rId295" xr:uid="{88DE951D-F37C-4F44-9515-FDC84962911A}"/>
    <hyperlink ref="M178" r:id="rId296" location="/mode=instrument&amp;secid=CMCSA-RM&amp;boardgroupid=1258&amp;mode_type=history&amp;date_from=2025-07-28" xr:uid="{BEF896BA-487B-4947-8F1B-00465A515C06}"/>
    <hyperlink ref="N178" r:id="rId297" xr:uid="{CC268F86-72EA-4FAA-92E5-D95D851B5291}"/>
    <hyperlink ref="M179" r:id="rId298" location="/mode=instrument&amp;secid=CMA-RM&amp;boardgroupid=1258&amp;mode_type=history&amp;date_from=2025-07-28" xr:uid="{0BAFF3B3-03D0-44DE-BAB2-EA54DA2D0F61}"/>
    <hyperlink ref="N179" r:id="rId299" xr:uid="{2B3701E8-D6E3-4E78-9302-951EDB96F75C}"/>
    <hyperlink ref="M180" r:id="rId300" location="/mode=instrument&amp;secid=CAG-RM&amp;boardgroupid=1258&amp;mode_type=history&amp;date_from=2025-07-28" xr:uid="{C00ADE71-52D0-4179-BB03-F5543188A688}"/>
    <hyperlink ref="N180" r:id="rId301" xr:uid="{EBB7AEF0-F66D-46A7-90ED-4834374C0AFC}"/>
    <hyperlink ref="M181" r:id="rId302" location="/mode=instrument&amp;secid=COP-RM&amp;boardgroupid=1258&amp;mode_type=history&amp;date_from=2025-04-28" xr:uid="{D0C0B23D-7C7C-41E7-911D-3C775F30D267}"/>
    <hyperlink ref="N181" r:id="rId303" xr:uid="{E60D3BA7-29C6-4FD6-A4E7-83D3E1148FF7}"/>
    <hyperlink ref="M182" r:id="rId304" location="/mode=instrument&amp;secid=ED-RM&amp;boardgroupid=1258&amp;mode_type=history&amp;date_from=2025-07-28" xr:uid="{860ADBED-639F-4FE3-B993-12C40DF11FE2}"/>
    <hyperlink ref="N182" r:id="rId305" xr:uid="{2B8E80A1-E7E0-4E84-B5D9-0600C02C2D7E}"/>
    <hyperlink ref="M183" r:id="rId306" location="/mode=instrument&amp;secid=STZ-RM&amp;boardgroupid=1258&amp;mode_type=history&amp;date_from=2025-07-28" xr:uid="{AB2BF32B-FA12-4F1E-B701-A5E0F184FA10}"/>
    <hyperlink ref="N183" r:id="rId307" xr:uid="{B4017CE4-A6AB-4161-9D35-DA38E9D7EF8D}"/>
    <hyperlink ref="N184" r:id="rId308" xr:uid="{4BDBBC16-AE3A-4ABB-827D-C82223061766}"/>
    <hyperlink ref="M186" r:id="rId309" location="/mode=instrument&amp;secid=CLR-RM&amp;boardgroupid=1258&amp;mode_type=history&amp;date_from=2025-07-28" xr:uid="{1F489B92-6C8B-4479-B91F-D5BCD648F9E5}"/>
    <hyperlink ref="N186" r:id="rId310" xr:uid="{B0D51D8A-077B-418A-9815-1E2B51AE8DA6}"/>
    <hyperlink ref="M187" r:id="rId311" location="/mode=instrument&amp;secid=CPRT-RM&amp;boardgroupid=1258&amp;mode_type=history&amp;date_from=2025-07-28" xr:uid="{5DB80B1F-38B5-40E9-B40F-E9EA35940476}"/>
    <hyperlink ref="N187" r:id="rId312" xr:uid="{549E9075-E01C-49DC-AC56-4D8BD3FD066E}"/>
    <hyperlink ref="M189" r:id="rId313" location="/mode=instrument&amp;secid=GLW-RM&amp;boardgroupid=1258&amp;mode_type=history&amp;date_from=2025-07-28" xr:uid="{AC534BFE-B48A-45E4-BAC0-18E28622BC04}"/>
    <hyperlink ref="N189" r:id="rId314" xr:uid="{1A7C1001-E5EA-480C-9D19-F37FEDAB366D}"/>
    <hyperlink ref="M191" r:id="rId315" location="/mode=instrument&amp;secid=CTVA-RM&amp;boardgroupid=1258&amp;mode_type=history&amp;date_from=2025-07-28" xr:uid="{AB7D31AA-26FD-4D4A-885A-9EC7B89A41D7}"/>
    <hyperlink ref="N191" r:id="rId316" xr:uid="{4550D8AE-5E18-4E95-924E-BF9A219D83A6}"/>
    <hyperlink ref="M192" r:id="rId317" location="/mode=instrument&amp;secid=CSGP-RM&amp;boardgroupid=1258&amp;mode_type=history&amp;date_from=2025-07-28" xr:uid="{008BA0B0-94D4-472F-96D4-277E64BCBDA0}"/>
    <hyperlink ref="N192" r:id="rId318" xr:uid="{893E67AF-5FDC-4045-9596-90FBEB627B08}"/>
    <hyperlink ref="M193" r:id="rId319" location="/mode=instrument&amp;secid=COST-RM&amp;boardgroupid=1258&amp;mode_type=history&amp;date_from=2025-04-28" xr:uid="{9DC056B3-3122-4201-B142-DF4AB8BD1854}"/>
    <hyperlink ref="N193" r:id="rId320" xr:uid="{8C4B15C4-D2CF-459D-8A82-C39FC80DF963}"/>
    <hyperlink ref="M194" r:id="rId321" location="/mode=instrument&amp;secid=CTRA-RM&amp;boardgroupid=1258&amp;mode_type=history&amp;date_from=2025-04-28" xr:uid="{225B3BDF-69B9-47E1-B46A-643278D0D29C}"/>
    <hyperlink ref="N194" r:id="rId322" xr:uid="{E0CAB939-E2CB-4E62-9EC4-67895122F6F1}"/>
    <hyperlink ref="M195" r:id="rId323" location="/mode=instrument&amp;secid=COTY-RM&amp;boardgroupid=1258&amp;mode_type=history&amp;date_from=2025-07-28" xr:uid="{7732B5E2-A164-4FF3-A994-0A71C5D3D52E}"/>
    <hyperlink ref="N195" r:id="rId324" xr:uid="{19DF8E8F-1B29-4AE6-83AF-5057D46627B9}"/>
    <hyperlink ref="M196" r:id="rId325" location="/mode=instrument&amp;secid=COUP-RM&amp;boardgroupid=1258&amp;mode_type=history&amp;date_from=2025-07-28" xr:uid="{45E6AA26-5120-47FE-8D61-AA3447294A96}"/>
    <hyperlink ref="N196" r:id="rId326" xr:uid="{9F1DA713-98A4-4833-ACB1-7BEF44E05C7E}"/>
    <hyperlink ref="M197" r:id="rId327" location="/mode=instrument&amp;secid=CPNG-RM&amp;boardgroupid=1258&amp;mode_type=history&amp;date_from=2025-04-28" xr:uid="{E31E684A-3E36-4B80-9785-9E0861B18A69}"/>
    <hyperlink ref="N197" r:id="rId328" xr:uid="{7F51631E-233B-47A2-979D-93D7D9106553}"/>
    <hyperlink ref="M198" r:id="rId329" location="/mode=instrument&amp;secid=COUR-RM&amp;boardgroupid=1258&amp;mode_type=history&amp;date_from=2025-07-28" xr:uid="{92242CD6-DFA4-4A8A-A8B6-D76C255C9242}"/>
    <hyperlink ref="N198" r:id="rId330" xr:uid="{688EFE25-1C1F-4306-AC48-E54317E0265D}"/>
    <hyperlink ref="M199" r:id="rId331" location="/mode=instrument&amp;secid=CROX-RM&amp;boardgroupid=1258&amp;mode_type=history&amp;date_from=2025-04-28" xr:uid="{6292B88E-8249-46ED-A06B-C2513EBCB0CC}"/>
    <hyperlink ref="N199" r:id="rId332" xr:uid="{C088B5AD-22C7-4448-9600-92516F37DB49}"/>
    <hyperlink ref="M200" r:id="rId333" location="/mode=instrument&amp;secid=CRWD-RM&amp;boardgroupid=1258&amp;mode_type=history&amp;date_from=2025-04-28" xr:uid="{8F0429F1-549D-49A5-B04C-49B771DAE911}"/>
    <hyperlink ref="N200" r:id="rId334" xr:uid="{0A0B2816-39F8-4F04-BD77-F9B28646A288}"/>
    <hyperlink ref="M202" r:id="rId335" location="/mode=instrument&amp;secid=CSX-RM&amp;boardgroupid=1258&amp;mode_type=history&amp;date_from=2025-07-28" xr:uid="{84859B7B-279D-4605-8A43-D09BB4E76DE1}"/>
    <hyperlink ref="N202" r:id="rId336" xr:uid="{C46669F9-955E-4AAD-ADE7-23BA52EE907A}"/>
    <hyperlink ref="M203" r:id="rId337" location="/mode=instrument&amp;secid=CMI-RM&amp;boardgroupid=1258&amp;mode_type=history&amp;date_from=2025-04-28" xr:uid="{65985158-8F5D-44DA-B074-829DAF57FCF8}"/>
    <hyperlink ref="N203" r:id="rId338" xr:uid="{79819306-BFFC-4CC3-93F9-F48EE386DDBC}"/>
    <hyperlink ref="M204" r:id="rId339" location="/mode=instrument&amp;secid=CVS-RM&amp;boardgroupid=1258&amp;mode_type=history&amp;date_from=2025-07-28" xr:uid="{EE78A39C-DFDD-448B-BA98-90E1D40F96A0}"/>
    <hyperlink ref="N204" r:id="rId340" xr:uid="{37660B66-A877-4489-A431-38F8BB112D1D}"/>
    <hyperlink ref="M205" r:id="rId341" location="/mode=instrument&amp;secid=DHI-RM&amp;boardgroupid=1258&amp;mode_type=history&amp;date_from=2025-04-28" xr:uid="{B42B2E58-3E1A-4440-A8BB-8AA42506FE7F}"/>
    <hyperlink ref="N205" r:id="rId342" xr:uid="{0356C36B-E54B-4BC2-B81C-38FB416A00D7}"/>
    <hyperlink ref="M206" r:id="rId343" location="/mode=instrument&amp;secid=DHR-RM&amp;boardgroupid=1258&amp;mode_type=history&amp;date_from=2025-07-28" xr:uid="{F9779AA9-7D1F-4BB2-9C22-15FC0EF27D4F}"/>
    <hyperlink ref="N206" r:id="rId344" xr:uid="{EAFC72BD-A3F9-421D-995B-4B2C858C227A}"/>
    <hyperlink ref="M207" r:id="rId345" location="/mode=instrument&amp;secid=DRI-RM&amp;boardgroupid=1258&amp;mode_type=history&amp;date_from=2025-07-28" xr:uid="{5E5AF39B-1973-4039-8E60-5CD8F9DEC0EC}"/>
    <hyperlink ref="N207" r:id="rId346" xr:uid="{9C7F0258-B1D0-4170-8ABE-24ECA6D94AAB}"/>
    <hyperlink ref="M208" r:id="rId347" location="/mode=instrument&amp;secid=DAR-RM&amp;boardgroupid=1258&amp;mode_type=history&amp;date_from=2025-07-28" xr:uid="{58E100E1-FC74-4E6A-9E7D-2C6178A9F1C4}"/>
    <hyperlink ref="N208" r:id="rId348" xr:uid="{2F18F6D9-FECD-4033-B591-879154D4888D}"/>
    <hyperlink ref="M209" r:id="rId349" location="/mode=instrument&amp;secid=DDOG-RM&amp;boardgroupid=1258&amp;mode_type=history&amp;date_from=2025-07-28" xr:uid="{A6B1C9E6-73E0-4458-B29D-238510E72B46}"/>
    <hyperlink ref="N209" r:id="rId350" xr:uid="{4A52C8FE-E98E-4CCD-92A3-D7AAFB77A36A}"/>
    <hyperlink ref="M210" r:id="rId351" location="/mode=instrument&amp;secid=PLAY-RM&amp;boardgroupid=1258&amp;mode_type=history&amp;date_from=2025-07-28" xr:uid="{F93BD59F-BD45-471E-B029-661DFE9BC28B}"/>
    <hyperlink ref="N210" r:id="rId352" xr:uid="{EE303928-06AD-49DF-9FDD-4A8AAB568C5E}"/>
    <hyperlink ref="M211" r:id="rId353" location="/mode=instrument&amp;secid=DVA-RM&amp;boardgroupid=1258&amp;mode_type=history&amp;date_from=2025-07-28" xr:uid="{CABA47B2-94B9-433E-AFA2-8F99C71C2F7B}"/>
    <hyperlink ref="N211" r:id="rId354" xr:uid="{2C4C64F2-4904-41B4-845D-FF3254BE61DE}"/>
    <hyperlink ref="M212" r:id="rId355" location="/mode=instrument&amp;secid=DE-RM&amp;boardgroupid=1258&amp;mode_type=history&amp;date_from=2025-07-28" xr:uid="{8D790BAA-AC56-4B79-818A-A253CD43DC14}"/>
    <hyperlink ref="N212" r:id="rId356" xr:uid="{2A5B9390-57E0-4000-A817-657948FB7BF1}"/>
    <hyperlink ref="M214" r:id="rId357" location="/mode=instrument&amp;secid=DELL-RM&amp;boardgroupid=1258&amp;mode_type=history&amp;date_from=2025-07-28" xr:uid="{2314A0E6-3D19-4151-9A4C-4FD56913C63C}"/>
    <hyperlink ref="N214" r:id="rId358" xr:uid="{EF8F99F5-A631-4D63-B5CB-39AF1F10F675}"/>
    <hyperlink ref="M215" r:id="rId359" location="/mode=instrument&amp;secid=DAL-RM&amp;boardgroupid=1258&amp;mode_type=history&amp;date_from=2025-04-28" xr:uid="{FAEEB663-FC03-429F-87F2-5F81DD1BCCE3}"/>
    <hyperlink ref="N215" r:id="rId360" xr:uid="{D93286C8-D65F-4388-9B62-6A799423E96C}"/>
    <hyperlink ref="M216" r:id="rId361" location="/mode=instrument&amp;secid=XRAY-RM&amp;boardgroupid=1258&amp;mode_type=history&amp;date_from=2025-07-28" xr:uid="{22FDE128-F44C-4AF8-A481-00CA181B7162}"/>
    <hyperlink ref="N216" r:id="rId362" xr:uid="{E3C91E6B-CF80-48B3-8ED0-C1D2AE057416}"/>
    <hyperlink ref="M218" r:id="rId363" location="/mode=instrument&amp;secid=DVN-RM&amp;boardgroupid=1258&amp;mode_type=history&amp;date_from=2025-07-28" xr:uid="{CB57776A-0618-4205-867F-2BF8A8967C92}"/>
    <hyperlink ref="N218" r:id="rId364" xr:uid="{3F0BCB14-F407-48F7-BD1D-CCFE7A354C7D}"/>
    <hyperlink ref="M219" r:id="rId365" location="/mode=instrument&amp;secid=DXCM-RM&amp;boardgroupid=1258&amp;mode_type=history&amp;date_from=2025-07-28" xr:uid="{732FD401-ADEC-4EC5-AABE-B5BD888F6842}"/>
    <hyperlink ref="N219" r:id="rId366" xr:uid="{96DED73C-0C24-44D4-AC28-EBF91F7607B5}"/>
    <hyperlink ref="M220" r:id="rId367" location="/mode=instrument&amp;secid=FANG-RM&amp;boardgroupid=1258&amp;mode_type=history&amp;date_from=2025-07-28" xr:uid="{C93672F1-8290-4B83-98BC-477759383406}"/>
    <hyperlink ref="N220" r:id="rId368" xr:uid="{4C8017A1-6215-4C79-B665-FEFA4F0BA940}"/>
    <hyperlink ref="M221" r:id="rId369" location="/mode=instrument&amp;secid=DKS-RM&amp;boardgroupid=1258&amp;mode_type=history&amp;date_from=2025-07-28" xr:uid="{37756EBC-4BBC-4711-8863-08FD79727AC8}"/>
    <hyperlink ref="N221" r:id="rId370" xr:uid="{BBE3202D-9364-4450-8E78-7B8EF58CC53D}"/>
    <hyperlink ref="M222" r:id="rId371" location="/mode=instrument&amp;secid=APPS-RM&amp;boardgroupid=1258&amp;mode_type=history&amp;date_from=2025-07-28" xr:uid="{7EB53E35-0036-4F6A-9F0A-693912528486}"/>
    <hyperlink ref="N222" r:id="rId372" xr:uid="{56FFD453-A7EA-4CD1-B551-6FE93D875A35}"/>
    <hyperlink ref="M224" r:id="rId373" location="/mode=instrument&amp;secid=DFS-RM&amp;boardgroupid=1258&amp;mode_type=history&amp;date_from=2025-07-28" xr:uid="{CB613E76-E76E-4D08-8E5C-A45B2581E0CE}"/>
    <hyperlink ref="N224" r:id="rId374" xr:uid="{34EAD3C3-689F-46BF-8C00-AF5FBDACFF06}"/>
    <hyperlink ref="M225" r:id="rId375" location="/mode=instrument&amp;secid=DISH-RM&amp;boardgroupid=1258&amp;mode_type=history&amp;date_from=2025-07-28" xr:uid="{5D3457A6-8E2B-4FF0-9249-B07B91EB843F}"/>
    <hyperlink ref="N225" r:id="rId376" xr:uid="{F26C696B-677D-4936-BE0A-A140BE4CF239}"/>
    <hyperlink ref="M226" r:id="rId377" location="/mode=instrument&amp;secid=DOCU-RM&amp;boardgroupid=1258&amp;mode_type=history&amp;date_from=2025-07-28" xr:uid="{E6BE5D2D-A821-4F30-ABA4-1B922CBBA1D3}"/>
    <hyperlink ref="N226" r:id="rId378" xr:uid="{17A9516A-B2A5-4DCF-AD9D-A3CADF32DB2D}"/>
    <hyperlink ref="M227" r:id="rId379" location="/mode=instrument&amp;secid=DG-RM&amp;boardgroupid=1258&amp;mode_type=history&amp;date_from=2025-07-28" xr:uid="{C857AD77-CAE2-4CEC-8387-B85E274F0A74}"/>
    <hyperlink ref="N227" r:id="rId380" xr:uid="{7351793D-E38A-44F9-A7D6-1127E940EE58}"/>
    <hyperlink ref="M228" r:id="rId381" location="/mode=instrument&amp;secid=DLTR-RM&amp;boardgroupid=1258&amp;mode_type=history&amp;date_from=2025-07-28" xr:uid="{B2DBC4FF-2880-4DCF-B219-568CC5F14263}"/>
    <hyperlink ref="N228" r:id="rId382" xr:uid="{D3DC7112-AC39-4B31-8840-56F96C9791CA}"/>
    <hyperlink ref="M229" r:id="rId383" location="/mode=instrument&amp;secid=D-RM&amp;boardgroupid=1258&amp;mode_type=history&amp;date_from=2025-07-28" xr:uid="{92FA2946-9A7E-4B15-B4CD-D01DEA09F6AA}"/>
    <hyperlink ref="N229" r:id="rId384" xr:uid="{B73A33FE-58F9-44F3-9E05-83D96F5C73AC}"/>
    <hyperlink ref="M230" r:id="rId385" location="/mode=instrument&amp;secid=DPZ-RM&amp;boardgroupid=1258&amp;mode_type=history&amp;date_from=2025-07-28" xr:uid="{F3FB796D-3924-4E33-8652-CFD9620E8E7A}"/>
    <hyperlink ref="N230" r:id="rId386" xr:uid="{F521B16C-D65C-43E1-B066-EAB158819604}"/>
    <hyperlink ref="M231" r:id="rId387" location="/mode=instrument&amp;secid=DASH-RM&amp;boardgroupid=1258&amp;mode_type=history&amp;date_from=2025-07-28" xr:uid="{44916ACA-2305-4F07-B694-96C9EFD9A508}"/>
    <hyperlink ref="N231" r:id="rId388" xr:uid="{8FA3849F-D7A4-45F9-96F7-879B907B32EE}"/>
    <hyperlink ref="M232" r:id="rId389" location="/mode=instrument&amp;secid=DOV-RM&amp;boardgroupid=1258&amp;mode_type=history&amp;date_from=2025-07-28" xr:uid="{1C4AF27C-5285-4AE5-AE10-F3639262A240}"/>
    <hyperlink ref="N232" r:id="rId390" xr:uid="{35AFF835-0ACE-476C-9A2D-4C3677E50EE3}"/>
    <hyperlink ref="M233" r:id="rId391" location="/mode=instrument&amp;secid=DOW-RM&amp;boardgroupid=1258&amp;mode_type=history&amp;date_from=2025-07-28" xr:uid="{CFB9D915-E42D-4B16-B9EF-314E7A856D6B}"/>
    <hyperlink ref="N233" r:id="rId392" xr:uid="{E5779292-3EDA-4555-BE44-78FDA394111C}"/>
    <hyperlink ref="M234" r:id="rId393" location="/mode=instrument&amp;secid=DOCS-RM&amp;boardgroupid=1258&amp;mode_type=history&amp;date_from=2025-07-28" xr:uid="{AC38F7B9-8A9D-40E1-BE24-3E4124DD4008}"/>
    <hyperlink ref="N234" r:id="rId394" xr:uid="{190D763D-93FB-49C5-8C84-FBFE880E3819}"/>
    <hyperlink ref="M235" r:id="rId395" location="/mode=instrument&amp;secid=DKNG-RM&amp;boardgroupid=1258&amp;mode_type=history&amp;date_from=2025-07-28" xr:uid="{FA375B65-25B6-40FC-89E3-F494D9F18040}"/>
    <hyperlink ref="N235" r:id="rId396" xr:uid="{74C84B05-C4BE-4035-9697-16A859BC83C9}"/>
    <hyperlink ref="M236" r:id="rId397" location="/mode=instrument&amp;secid=DBX-RM&amp;boardgroupid=1258&amp;mode_type=history&amp;date_from=2025-04-28" xr:uid="{7CC75B91-9A73-49C9-8C18-82E09D19D668}"/>
    <hyperlink ref="N236" r:id="rId398" xr:uid="{85B09CA6-69A5-45DD-9B61-4B93A78E27F0}"/>
    <hyperlink ref="M237" r:id="rId399" location="/mode=instrument&amp;secid=DUK-RM&amp;boardgroupid=1258&amp;mode_type=history&amp;date_from=2025-07-28" xr:uid="{951AE8D7-C5CB-4A3C-A84C-A3FB34AE9550}"/>
    <hyperlink ref="N237" r:id="rId400" xr:uid="{5B7696DA-1B96-496D-A654-040572041D66}"/>
    <hyperlink ref="M238" r:id="rId401" location="/mode=instrument&amp;secid=DD-RM&amp;boardgroupid=1258&amp;mode_type=history&amp;date_from=2025-07-28" xr:uid="{6EA47D9A-0624-4A19-BDC5-4D162EE2D0B0}"/>
    <hyperlink ref="N238" r:id="rId402" xr:uid="{259FFA6B-A2FA-4091-A282-34519126EBE1}"/>
    <hyperlink ref="M239" r:id="rId403" location="/mode=instrument&amp;secid=DXC-RM&amp;boardgroupid=1258&amp;mode_type=history&amp;date_from=2025-07-28" xr:uid="{BD6416B1-1B6E-481B-9683-B8A68233BB1F}"/>
    <hyperlink ref="N239" r:id="rId404" xr:uid="{465E99CB-33A6-4F4C-B6CC-13FB3BE4989A}"/>
    <hyperlink ref="M240" r:id="rId405" location="/mode=instrument&amp;secid=DT-RM&amp;boardgroupid=1258&amp;mode_type=history&amp;date_from=2025-07-28" xr:uid="{7ED0A1EF-4420-49A3-A04F-2E3B2A696B76}"/>
    <hyperlink ref="N240" r:id="rId406" xr:uid="{39845287-B170-4D00-8CBE-86F1B46AF5FF}"/>
    <hyperlink ref="M242" r:id="rId407" location="/mode=instrument&amp;secid=EMN-RM&amp;boardgroupid=1258&amp;mode_type=history&amp;date_from=2025-07-28" xr:uid="{C1DE7141-9C0A-42ED-99F7-67233716F763}"/>
    <hyperlink ref="N242" r:id="rId408" xr:uid="{6798716E-40A0-4FCD-8074-C716901EC149}"/>
    <hyperlink ref="M243" r:id="rId409" location="/mode=instrument&amp;secid=EBAY-RM&amp;boardgroupid=1258&amp;mode_type=history&amp;date_from=2025-07-28" xr:uid="{D7E371EA-27D9-42D6-978A-BA811931FF82}"/>
    <hyperlink ref="N243" r:id="rId410" xr:uid="{978E5523-8BCE-40A9-8041-C69C953FD203}"/>
    <hyperlink ref="M244" r:id="rId411" location="/mode=instrument&amp;secid=ECL-RM&amp;boardgroupid=1258&amp;mode_type=history&amp;date_from=2025-07-28" xr:uid="{D405F341-8F52-497A-B050-DC3791C99272}"/>
    <hyperlink ref="N244" r:id="rId412" xr:uid="{78A25B1C-0F4C-4F47-8C74-BAF2488650E0}"/>
    <hyperlink ref="M245" r:id="rId413" location="/mode=instrument&amp;secid=EIX-RM&amp;boardgroupid=1258&amp;mode_type=history&amp;date_from=2025-07-28" xr:uid="{6DD4EC22-3333-461D-BC99-9B1F66268490}"/>
    <hyperlink ref="N245" r:id="rId414" xr:uid="{63417664-3EA2-4DAE-A1C2-88BF38E8FA5F}"/>
    <hyperlink ref="M246" r:id="rId415" location="/mode=instrument&amp;secid=EDIT-RM&amp;boardgroupid=1258&amp;mode_type=history&amp;date_from=2025-07-28" xr:uid="{DF3166F3-93D6-4E5C-BCC0-4BCD29B9C35C}"/>
    <hyperlink ref="N246" r:id="rId416" xr:uid="{185314DB-0BC2-4E7A-942D-94DD9B1C2B26}"/>
    <hyperlink ref="M247" r:id="rId417" location="/mode=instrument&amp;secid=EW-RM&amp;boardgroupid=1258&amp;mode_type=history&amp;date_from=2025-07-28" xr:uid="{61325977-4423-4CB0-BE6D-19A370F1A558}"/>
    <hyperlink ref="N247" r:id="rId418" xr:uid="{273A5974-9BF2-4A68-8F64-F9805484838D}"/>
    <hyperlink ref="M248" r:id="rId419" location="/mode=instrument&amp;secid=EHTH-RM&amp;boardgroupid=1258&amp;mode_type=history&amp;date_from=2025-04-28" xr:uid="{3458C452-0746-42D9-894B-8307868826EB}"/>
    <hyperlink ref="N248" r:id="rId420" xr:uid="{7D2E8FE6-F2DD-4842-943C-435B503EBF2C}"/>
    <hyperlink ref="M249" r:id="rId421" location="/mode=instrument&amp;secid=ELAN-RM&amp;boardgroupid=1258&amp;mode_type=history&amp;date_from=2025-07-28" xr:uid="{5A31F282-580F-4B9B-B57E-35CEC8AD9F50}"/>
    <hyperlink ref="N249" r:id="rId422" xr:uid="{3801F95D-115B-4405-B769-654304C7C073}"/>
    <hyperlink ref="M250" r:id="rId423" location="/mode=instrument&amp;secid=EA-RM&amp;boardgroupid=1258&amp;mode_type=history&amp;date_from=2025-04-28" xr:uid="{C0BA88FB-F67E-46A1-8E63-FA8F4E5194D6}"/>
    <hyperlink ref="N250" r:id="rId424" xr:uid="{DCAE5EE6-4C6F-4559-9851-D085FB517943}"/>
    <hyperlink ref="M251" r:id="rId425" location="/mode=instrument&amp;secid=ELV-RM&amp;boardgroupid=1258&amp;mode_type=history&amp;date_from=2025-07-28" xr:uid="{FCF3FE40-478D-4EA2-B78E-F94717DF2AB1}"/>
    <hyperlink ref="N251" r:id="rId426" xr:uid="{BB21E123-0DA8-49BE-90BF-549B2105F29B}"/>
    <hyperlink ref="M252" r:id="rId427" location="/mode=instrument&amp;secid=LLY-RM&amp;boardgroupid=1258&amp;mode_type=history&amp;date_from=2025-04-28" xr:uid="{DD410D5E-4E71-47BD-8F35-45F94161AF25}"/>
    <hyperlink ref="N252" r:id="rId428" xr:uid="{EE6BF2D1-7B45-48A7-AF75-47C26DD03745}"/>
    <hyperlink ref="M253" r:id="rId429" location="/mode=instrument&amp;secid=EMR-RM&amp;boardgroupid=1258&amp;mode_type=history&amp;date_from=2025-07-28" xr:uid="{6DE365A4-C3CE-47E3-812B-F8FF64331DFC}"/>
    <hyperlink ref="N253" r:id="rId430" xr:uid="{83F6FD0D-9BB8-48E0-AD06-86D7385C715D}"/>
    <hyperlink ref="M254" r:id="rId431" location="/mode=instrument&amp;secid=ENPH-RM&amp;boardgroupid=1258&amp;mode_type=history&amp;date_from=2025-07-28" xr:uid="{31C64372-7F6C-4BD5-B629-5D6DD476BE5E}"/>
    <hyperlink ref="N254" r:id="rId432" xr:uid="{F5C5CE63-4745-43BD-A0A4-0D845B9B5298}"/>
    <hyperlink ref="M255" r:id="rId433" location="/mode=instrument&amp;secid=ETR-RM&amp;boardgroupid=1258&amp;mode_type=history&amp;date_from=2025-07-28" xr:uid="{85CF9BC4-1C2A-4649-A6DE-251F935C1732}"/>
    <hyperlink ref="N255" r:id="rId434" xr:uid="{5DB133D5-6DF1-4030-891E-0080489AAC80}"/>
    <hyperlink ref="M256" r:id="rId435" location="/mode=instrument&amp;secid=EOG-RM&amp;boardgroupid=1258&amp;mode_type=history&amp;date_from=2025-07-28" xr:uid="{77F41191-2EE4-4ED0-9B17-976F2CCFBA03}"/>
    <hyperlink ref="N256" r:id="rId436" xr:uid="{5A382A03-C41C-40A2-90A1-DFF3536D7C47}"/>
    <hyperlink ref="M257" r:id="rId437" location="/mode=instrument&amp;secid=EQT-RM&amp;boardgroupid=1258&amp;mode_type=history&amp;date_from=2025-04-28" xr:uid="{40A5F8FE-519F-48D3-B809-EF9CDC9CBAEA}"/>
    <hyperlink ref="N257" r:id="rId438" xr:uid="{A01805AC-EBED-45BE-9481-C250A07BF57A}"/>
    <hyperlink ref="M258" r:id="rId439" location="/mode=instrument&amp;secid=EFX-RM&amp;boardgroupid=1258&amp;mode_type=history&amp;date_from=2025-07-28" xr:uid="{CEE0CA96-42E4-4207-962B-3CDE6E039F6B}"/>
    <hyperlink ref="N258" r:id="rId440" xr:uid="{DD97EDE4-28E9-4536-B6E5-E3C43982C025}"/>
    <hyperlink ref="M259" r:id="rId441" location="/mode=instrument&amp;secid=ETRN-RM&amp;boardgroupid=1258&amp;mode_type=history&amp;date_from=2025-07-28" xr:uid="{175375E7-064E-4144-8361-6691F75E6761}"/>
    <hyperlink ref="N259" r:id="rId442" xr:uid="{0A9DD479-D535-4EF6-A6D3-9160D857BA18}"/>
    <hyperlink ref="M261" r:id="rId443" location="/mode=instrument&amp;secid=EL-RM&amp;boardgroupid=1258&amp;mode_type=history&amp;date_from=2025-07-28" xr:uid="{2160FA2F-4F61-4EBC-A1DD-CE6FEB776F78}"/>
    <hyperlink ref="N261" r:id="rId444" xr:uid="{9FCCCCB2-AB44-4C4A-A98F-38BC4ABC6986}"/>
    <hyperlink ref="M262" r:id="rId445" location="/mode=instrument&amp;secid=ETSY-RM&amp;boardgroupid=1258&amp;mode_type=history&amp;date_from=2025-07-28" xr:uid="{06103D58-631D-4448-AFF2-63B8577E55D7}"/>
    <hyperlink ref="N262" r:id="rId446" xr:uid="{4E13F550-8C2C-4C4C-A826-5175F6C1DF0E}"/>
    <hyperlink ref="M263" r:id="rId447" location="/mode=instrument&amp;secid=EVRG-RM&amp;boardgroupid=1258&amp;mode_type=history&amp;date_from=2025-07-28" xr:uid="{E741EDF1-5C45-4D4E-95D4-7C7C026CB246}"/>
    <hyperlink ref="N263" r:id="rId448" xr:uid="{6A4E1567-0D5D-47F5-9C90-EE5EC1060F0D}"/>
    <hyperlink ref="M264" r:id="rId449" location="/mode=instrument&amp;secid=ES-RM&amp;boardgroupid=1258&amp;mode_type=history&amp;date_from=2025-07-28" xr:uid="{6F3B8B8D-129B-42CC-9FE4-6F0155160EAF}"/>
    <hyperlink ref="N264" r:id="rId450" xr:uid="{80207493-A603-440A-BB44-E7C65583E102}"/>
    <hyperlink ref="M265" r:id="rId451" location="/mode=instrument&amp;secid=EXAS-RM&amp;boardgroupid=1258&amp;mode_type=history&amp;date_from=2025-07-28" xr:uid="{86BAFE8F-D946-41BC-AAFC-420CE9CE77D2}"/>
    <hyperlink ref="N265" r:id="rId452" xr:uid="{9FCF54EB-C2AE-470A-8CF4-BE78E7DEA336}"/>
    <hyperlink ref="M266" r:id="rId453" location="/mode=instrument&amp;secid=EXEL-RM&amp;boardgroupid=1258&amp;mode_type=history&amp;date_from=2025-07-28" xr:uid="{A08F8ED5-C972-4406-8A4F-8C2BA80C5FCE}"/>
    <hyperlink ref="N266" r:id="rId454" xr:uid="{FE12226F-2766-471A-9642-A40DF99B1EAD}"/>
    <hyperlink ref="M267" r:id="rId455" location="/mode=instrument&amp;secid=EXC-RM&amp;boardgroupid=1258&amp;mode_type=history&amp;date_from=2025-07-28" xr:uid="{D3A8E263-8AA9-4481-B768-06CE1A69480E}"/>
    <hyperlink ref="N267" r:id="rId456" xr:uid="{B61930A1-480B-4E89-B54F-325C0AEFAE1C}"/>
    <hyperlink ref="M268" r:id="rId457" location="/mode=instrument&amp;secid=EXPE-RM&amp;boardgroupid=1258&amp;mode_type=history&amp;date_from=2025-07-28" xr:uid="{8327A958-6BA4-44EC-81E1-8ECBE6A00FFF}"/>
    <hyperlink ref="N268" r:id="rId458" xr:uid="{8E58827B-DAEA-4825-9059-AC4EC1E74273}"/>
    <hyperlink ref="M269" r:id="rId459" location="/mode=instrument&amp;secid=EXPD-RM&amp;boardgroupid=1258&amp;mode_type=history&amp;date_from=2025-07-28" xr:uid="{A3BE6772-6B8C-4F30-A626-CE0A1C832EB2}"/>
    <hyperlink ref="N269" r:id="rId460" xr:uid="{D15BD288-88B6-4E66-BFEF-E390F8FDC769}"/>
    <hyperlink ref="M270" r:id="rId461" location="/mode=instrument&amp;secid=XOM-RM&amp;boardgroupid=1258&amp;mode_type=history&amp;date_from=2025-04-28" xr:uid="{33A6EBA8-562D-4187-80AF-F9DA60972A98}"/>
    <hyperlink ref="N270" r:id="rId462" xr:uid="{C1C5BDAA-F599-4B36-BE7B-6E9A02636914}"/>
    <hyperlink ref="M271" r:id="rId463" location="/mode=instrument&amp;secid=FFIV-RM&amp;boardgroupid=1258&amp;mode_type=history&amp;date_from=2025-07-28" xr:uid="{B55D1F3E-DA76-4914-B359-C6FA612FCCC3}"/>
    <hyperlink ref="N271" r:id="rId464" xr:uid="{37A6A815-6B05-4AC8-B104-1BCE49E9BC7B}"/>
    <hyperlink ref="M272" r:id="rId465" location="/mode=instrument&amp;secid=FAST-RM&amp;boardgroupid=1258&amp;mode_type=history&amp;date_from=2025-07-28" xr:uid="{0F7BE7FA-9A9A-4C91-BD68-50EC630F1694}"/>
    <hyperlink ref="N272" r:id="rId466" xr:uid="{2845187D-B60C-4E63-97CC-BAC6885431FD}"/>
    <hyperlink ref="M273" r:id="rId467" location="/mode=instrument&amp;secid=FSLY-RM&amp;boardgroupid=1258&amp;mode_type=history&amp;date_from=2025-07-28" xr:uid="{ABEB86F1-71F6-48C0-8AB2-32372E23C049}"/>
    <hyperlink ref="N273" r:id="rId468" xr:uid="{E945EE81-1F72-42E6-A52F-C0E65C5E2A91}"/>
    <hyperlink ref="M274" r:id="rId469" location="/mode=instrument&amp;secid=FDX-RM&amp;boardgroupid=1258&amp;mode_type=history&amp;date_from=2025-04-28" xr:uid="{1C8F273E-20B7-4F9B-8D19-EAB3D36F97D7}"/>
    <hyperlink ref="N274" r:id="rId470" xr:uid="{F3987377-2F4A-42A0-8E31-6088A586F0B7}"/>
    <hyperlink ref="M275" r:id="rId471" location="/mode=instrument&amp;secid=FGEN-RM&amp;boardgroupid=1258&amp;mode_type=history&amp;date_from=2025-07-28" xr:uid="{EABCD1E3-7F2D-4D43-8CE3-3B81FFB4E37D}"/>
    <hyperlink ref="N275" r:id="rId472" xr:uid="{5D673C21-9FBA-4D33-8D30-497C9DD75610}"/>
    <hyperlink ref="M276" r:id="rId473" location="/mode=instrument&amp;secid=FNF-RM&amp;boardgroupid=1258&amp;mode_type=history&amp;date_from=2025-07-28" xr:uid="{0F5342CB-053C-4543-9C68-94EDCF5A8192}"/>
    <hyperlink ref="N276" r:id="rId474" xr:uid="{F174E7E5-CEFE-4717-9224-C0B180005FDC}"/>
    <hyperlink ref="M277" r:id="rId475" location="/mode=instrument&amp;secid=FIS-RM&amp;boardgroupid=1258&amp;mode_type=history&amp;date_from=2025-07-28" xr:uid="{0E8C3F22-D21A-4F62-99C2-27D66A2BEAF8}"/>
    <hyperlink ref="N277" r:id="rId476" xr:uid="{AFB813DF-D2EB-4B66-AA18-08F5E41256D9}"/>
    <hyperlink ref="M278" r:id="rId477" location="/mode=instrument&amp;secid=FITB-RM&amp;boardgroupid=1258&amp;mode_type=history&amp;date_from=2025-07-28" xr:uid="{2AB47DB8-A9B6-4BC8-B102-9411923C7332}"/>
    <hyperlink ref="N278" r:id="rId478" xr:uid="{DABA3732-2DBF-4B23-9625-EA20F51100A6}"/>
    <hyperlink ref="M279" r:id="rId479" location="/mode=instrument&amp;secid=FSLR-RM&amp;boardgroupid=1258&amp;mode_type=history&amp;date_from=2025-04-28" xr:uid="{3D645D2B-2176-453A-9B7C-9176BA5CEF8D}"/>
    <hyperlink ref="N279" r:id="rId480" xr:uid="{5E617A5D-33CD-435D-A2EA-C19DEF76AFB5}"/>
    <hyperlink ref="M280" r:id="rId481" location="/mode=instrument&amp;secid=FE-RM&amp;boardgroupid=1258&amp;mode_type=history&amp;date_from=2025-07-28" xr:uid="{3701C9B1-A26D-42CE-901D-6C26EB398284}"/>
    <hyperlink ref="N280" r:id="rId482" xr:uid="{DA478D31-78F6-4FAA-9B2B-5A0205975E54}"/>
    <hyperlink ref="M281" r:id="rId483" location="/mode=instrument&amp;secid=FI-RM&amp;boardgroupid=1258&amp;mode_type=history&amp;date_from=2025-04-28" xr:uid="{83554741-05A0-46E5-BFDE-5E7B893E5BB4}"/>
    <hyperlink ref="N281" r:id="rId484" xr:uid="{0254C305-453D-41A6-BAD9-5DF7052241E2}"/>
    <hyperlink ref="M282" r:id="rId485" location="/mode=instrument&amp;secid=FIVN-RM&amp;boardgroupid=1258&amp;mode_type=history&amp;date_from=2025-07-28" xr:uid="{2D5EBA72-3512-40EB-843C-CA7DFE976287}"/>
    <hyperlink ref="N282" r:id="rId486" xr:uid="{154DAD37-A48B-4392-8CAE-9F64150A83A5}"/>
    <hyperlink ref="M283" r:id="rId487" location="/mode=instrument&amp;secid=FLT-RM&amp;boardgroupid=1258&amp;mode_type=history&amp;date_from=2025-07-28" xr:uid="{8E31F675-D21B-46A5-A20F-462A3B09719A}"/>
    <hyperlink ref="N283" r:id="rId488" xr:uid="{F123BD43-5427-458A-B2CE-F382EDBB1EC2}"/>
    <hyperlink ref="M284" r:id="rId489" location="/mode=instrument&amp;secid=FLO-RM&amp;boardgroupid=1258&amp;mode_type=history&amp;date_from=2025-07-28" xr:uid="{412599D2-8C74-436B-8245-D557FF4E8D9B}"/>
    <hyperlink ref="N284" r:id="rId490" xr:uid="{E8C2D238-32FB-4383-908C-1E0202C263CC}"/>
    <hyperlink ref="M285" r:id="rId491" location="/mode=instrument&amp;secid=FLR-RM&amp;boardgroupid=1258&amp;mode_type=history&amp;date_from=2025-07-28" xr:uid="{9A909261-FB98-412F-B22E-178F9F80F101}"/>
    <hyperlink ref="N285" r:id="rId492" xr:uid="{BAD53748-AE49-4FC2-8949-A5086B9A0844}"/>
    <hyperlink ref="M286" r:id="rId493" location="/mode=instrument&amp;secid=FMC-RM&amp;boardgroupid=1258&amp;mode_type=history&amp;date_from=2025-07-28" xr:uid="{FED2308C-5996-434F-8AE6-A1E46ED22E43}"/>
    <hyperlink ref="N286" r:id="rId494" xr:uid="{88D06241-33C5-4ABC-BE0F-8FDE617BA81E}"/>
    <hyperlink ref="M287" r:id="rId495" location="/mode=instrument&amp;secid=FL-RM&amp;boardgroupid=1258&amp;mode_type=history&amp;date_from=2025-07-28" xr:uid="{75A83AB6-D41B-448B-A1A2-B1C4F0F33983}"/>
    <hyperlink ref="N287" r:id="rId496" xr:uid="{684BA9C4-361F-4D17-8666-B680DAC81DBE}"/>
    <hyperlink ref="M288" r:id="rId497" location="/mode=instrument&amp;secid=F-RM&amp;boardgroupid=1258&amp;mode_type=history&amp;date_from=2025-07-28" xr:uid="{E8BCFA8B-21F3-4CD9-9170-C256B1C3BE7B}"/>
    <hyperlink ref="N288" r:id="rId498" xr:uid="{115EDF2D-E2B4-4211-848D-F6B7866070B7}"/>
    <hyperlink ref="M289" r:id="rId499" location="/mode=instrument&amp;secid=FTNT-RM&amp;boardgroupid=1258&amp;mode_type=history&amp;date_from=2025-07-28" xr:uid="{6BAB0934-1F11-44A0-93B2-60FC17FE6E1E}"/>
    <hyperlink ref="N289" r:id="rId500" xr:uid="{5BE949E9-6F11-4172-B2D1-38BAAE9E0F50}"/>
    <hyperlink ref="M290" r:id="rId501" location="/mode=instrument&amp;secid=FTV-RM&amp;boardgroupid=50&amp;mode_type=history&amp;date_from=2025-07-28" xr:uid="{101E459D-1A1A-4710-946B-19F8072E9380}"/>
    <hyperlink ref="N290" r:id="rId502" xr:uid="{6F333A30-4E9E-40A6-82FB-26A47274998B}"/>
    <hyperlink ref="M291" r:id="rId503" location="/mode=instrument&amp;secid=FBIN-RM&amp;boardgroupid=1258&amp;mode_type=history&amp;date_from=2025-07-28" xr:uid="{AFE582E8-A898-4F44-8023-C163A68F6906}"/>
    <hyperlink ref="N291" r:id="rId504" xr:uid="{402BC16F-CBEF-46C1-A7C8-F1D22EA03D85}"/>
    <hyperlink ref="M292" r:id="rId505" location="/mode=instrument&amp;secid=FOX-RM&amp;boardgroupid=1258&amp;mode_type=history&amp;date_from=2025-07-28" xr:uid="{8665CC13-5188-43C1-9DBA-8A84AED1CC08}"/>
    <hyperlink ref="N292" r:id="rId506" xr:uid="{40146D9F-1C5F-425D-B6DF-03219E320B5B}"/>
    <hyperlink ref="M293" r:id="rId507" location="/mode=instrument&amp;secid=BEN-RM&amp;boardgroupid=1258&amp;mode_type=history&amp;date_from=2025-07-28" xr:uid="{950B0F4E-40B9-452D-A037-2EDB2EDA1DA4}"/>
    <hyperlink ref="N293" r:id="rId508" xr:uid="{CD90D5B3-9BFF-4F40-99E2-946F8410E0DC}"/>
    <hyperlink ref="M294" r:id="rId509" location="/mode=instrument&amp;secid=FRHC-RM&amp;boardgroupid=1258&amp;mode_type=history&amp;date_from=2025-07-28" xr:uid="{A86CA09A-A9B6-4548-9728-D27640D2D4CA}"/>
    <hyperlink ref="N294" r:id="rId510" xr:uid="{2D668071-6BE8-42E5-9D7B-FD475A2060A2}"/>
    <hyperlink ref="M295" r:id="rId511" location="/mode=instrument&amp;secid=FCX-RM&amp;boardgroupid=1258&amp;mode_type=history&amp;date_from=2025-04-28" xr:uid="{FECF89BB-0FA2-4993-9B5C-7CA5D8003A3C}"/>
    <hyperlink ref="N295" r:id="rId512" xr:uid="{0A4C90CE-9C1A-4A8C-9261-4BD35FFBB54D}"/>
    <hyperlink ref="M297" r:id="rId513" location="/mode=instrument&amp;secid=FNKO-RM&amp;boardgroupid=1258&amp;mode_type=history&amp;date_from=2025-07-28" xr:uid="{29BD1CBE-01D6-420F-9471-5DB4754CB710}"/>
    <hyperlink ref="N297" r:id="rId514" xr:uid="{81B28B03-DE09-4865-B85E-CB010D398C70}"/>
    <hyperlink ref="M298" r:id="rId515" location="/mode=instrument&amp;secid=GTHX-RM&amp;boardgroupid=1258&amp;mode_type=history&amp;date_from=2025-07-28" xr:uid="{C34D818A-ECE7-4B31-93FA-9C2ECC23368D}"/>
    <hyperlink ref="N298" r:id="rId516" xr:uid="{5C5321A8-DEE2-4EA8-9C14-9595774CEE55}"/>
    <hyperlink ref="M299" r:id="rId517" location="/mode=instrument&amp;secid=GPS-RM&amp;boardgroupid=1258&amp;mode_type=history&amp;date_from=2025-04-28" xr:uid="{DC69F16D-A6F4-45E9-B938-656F6C761DB2}"/>
    <hyperlink ref="N299" r:id="rId518" xr:uid="{D983D379-295B-43D0-9FAE-3DFADCFB11C4}"/>
    <hyperlink ref="M300" r:id="rId519" location="/mode=instrument&amp;secid=IT-RM&amp;boardgroupid=1258&amp;mode_type=history&amp;date_from=2025-07-28" xr:uid="{95847405-0404-48DB-ADAB-19CE3B3D0F39}"/>
    <hyperlink ref="N300" r:id="rId520" xr:uid="{16F2A53A-1878-4E51-8029-3C36F5C156C0}"/>
    <hyperlink ref="M302" r:id="rId521" location="/mode=instrument&amp;secid=GEN-RM&amp;boardgroupid=1258&amp;mode_type=history&amp;date_from=2025-07-28" xr:uid="{07BE2A37-08F8-478A-B4CF-50344C646A3D}"/>
    <hyperlink ref="N302" r:id="rId522" xr:uid="{E67631C9-F313-40C9-A268-714A66F1A59A}"/>
    <hyperlink ref="M303" r:id="rId523" location="/mode=instrument&amp;secid=GNRC-RM&amp;boardgroupid=1258&amp;mode_type=history&amp;date_from=2025-07-28" xr:uid="{971350E9-C025-402D-987C-63C46F69CAE2}"/>
    <hyperlink ref="N303" r:id="rId524" xr:uid="{DEE11423-51C6-4749-B692-DA87C6DFF226}"/>
    <hyperlink ref="M305" r:id="rId525" location="/mode=instrument&amp;secid=GIS-RM&amp;boardgroupid=1258&amp;mode_type=history&amp;date_from=2025-07-28" xr:uid="{98AE29B3-238A-4528-AC74-48CE7A45D3B9}"/>
    <hyperlink ref="N305" r:id="rId526" xr:uid="{6789E778-9A35-4ACC-A950-E731E68AE9CC}"/>
    <hyperlink ref="M307" r:id="rId527" location="/mode=instrument&amp;secid=GNTX-RM&amp;boardgroupid=1258&amp;mode_type=history&amp;date_from=2025-07-28" xr:uid="{8C1E77E6-16AB-47BA-8A46-48214EAECDCD}"/>
    <hyperlink ref="N307" r:id="rId528" xr:uid="{72D82654-E52E-47AD-A200-52F3BF4E4221}"/>
    <hyperlink ref="M308" r:id="rId529" location="/mode=instrument&amp;secid=GPC-RM&amp;boardgroupid=1258&amp;mode_type=history&amp;date_from=2025-07-28" xr:uid="{065D0C29-934F-4ACA-B54E-EB400A395720}"/>
    <hyperlink ref="N308" r:id="rId530" xr:uid="{29239A5B-13AC-43C6-BF18-246C9DEFA6DA}"/>
    <hyperlink ref="M309" r:id="rId531" location="/mode=instrument&amp;secid=GEVO-RM&amp;boardgroupid=1258&amp;mode_type=history&amp;date_from=2025-07-28" xr:uid="{D3087322-B702-4244-8FBB-A1B8A263AC51}"/>
    <hyperlink ref="N309" r:id="rId532" xr:uid="{ED9B05FB-A767-4CB7-A731-AE9EB7A53F50}"/>
    <hyperlink ref="M310" r:id="rId533" location="/mode=instrument&amp;secid=GILD-RM&amp;boardgroupid=1258&amp;mode_type=history&amp;date_from=2025-04-28" xr:uid="{A00B3FF3-8B25-4B02-872B-8A06473C1E2D}"/>
    <hyperlink ref="N310" r:id="rId534" xr:uid="{7BF52832-22AA-4A4B-85C0-83DB250DC01B}"/>
    <hyperlink ref="M311" r:id="rId535" location="/mode=instrument&amp;secid=GPN-RM&amp;boardgroupid=1258&amp;mode_type=history&amp;date_from=2025-07-28" xr:uid="{59747448-BBA7-4EB8-BD59-F225E2B069EA}"/>
    <hyperlink ref="N311" r:id="rId536" xr:uid="{889F23EB-D158-4977-B85A-6AD480FB4F43}"/>
    <hyperlink ref="M312" r:id="rId537" location="/mode=instrument&amp;secid=GDDY-RM&amp;boardgroupid=1258&amp;mode_type=history&amp;date_from=2025-07-28" xr:uid="{397E7F11-1CAF-457C-B403-BB086EBDE91E}"/>
    <hyperlink ref="N312" r:id="rId538" xr:uid="{C44545B3-A41C-49FB-93D6-EB35CDF449F1}"/>
    <hyperlink ref="M313" r:id="rId539" location="/mode=instrument&amp;secid=GDRX-RM&amp;boardgroupid=1258&amp;mode_type=history&amp;date_from=2025-07-28" xr:uid="{EF800295-F47A-4CF0-A41D-D469FFED3F6D}"/>
    <hyperlink ref="N313" r:id="rId540" xr:uid="{F5ADB716-52AD-4258-B381-108E3B35474E}"/>
    <hyperlink ref="M314" r:id="rId541" location="/mode=instrument&amp;secid=GT-RM&amp;boardgroupid=1258&amp;mode_type=history&amp;date_from=2025-07-28" xr:uid="{6E828C02-6F8F-4BA4-9850-1D51DE15CD8B}"/>
    <hyperlink ref="N314" r:id="rId542" xr:uid="{D342E7C0-5A1C-4A91-9E0A-767F83D47155}"/>
    <hyperlink ref="M315" r:id="rId543" location="/mode=instrument&amp;secid=HRB-RM&amp;boardgroupid=1258&amp;mode_type=history&amp;date_from=2025-07-28" xr:uid="{51E26106-69DD-4AB9-9F07-3269A6A7A5E9}"/>
    <hyperlink ref="N315" r:id="rId544" xr:uid="{816E3164-7CEB-4EC5-A3A7-346124D89121}"/>
    <hyperlink ref="M316" r:id="rId545" location="/mode=instrument&amp;secid=HAL-RM&amp;boardgroupid=1258&amp;mode_type=history&amp;date_from=2025-04-28" xr:uid="{22178245-1D3F-44D6-A7EA-1575EFC2FED5}"/>
    <hyperlink ref="N316" r:id="rId546" xr:uid="{841FF849-DDA0-4A5A-8C6E-F633749EE2EB}"/>
    <hyperlink ref="M317" r:id="rId547" location="/mode=instrument&amp;secid=HBI-RM&amp;boardgroupid=1258&amp;mode_type=history&amp;date_from=2025-07-28" xr:uid="{11FFD3B7-BA4D-4088-8D27-637E6EEE493B}"/>
    <hyperlink ref="N317" r:id="rId548" xr:uid="{8089C8E3-9323-49EE-86DA-802F746DC7ED}"/>
    <hyperlink ref="M318" r:id="rId549" location="/mode=instrument&amp;secid=HOG-RM&amp;boardgroupid=1258&amp;mode_type=history&amp;date_from=2025-07-28" xr:uid="{BB582ED2-0413-4683-80BF-6AFC5E5556F4}"/>
    <hyperlink ref="N318" r:id="rId550" xr:uid="{F338A183-6821-46D3-8A53-D25B666D09D2}"/>
    <hyperlink ref="M319" r:id="rId551" location="/mode=instrument&amp;secid=HAS-RM&amp;boardgroupid=1258&amp;mode_type=history&amp;date_from=2025-07-28" xr:uid="{06EAA63C-2E46-4AB7-845A-3C8FB3BCACC2}"/>
    <hyperlink ref="N319" r:id="rId552" xr:uid="{E5A75046-3A9F-42CB-A130-C38A626C15FE}"/>
    <hyperlink ref="M320" r:id="rId553" location="/mode=instrument&amp;secid=HCA-RM&amp;boardgroupid=1258&amp;mode_type=history&amp;date_from=2025-07-28" xr:uid="{E80AB8FE-9DDB-4AAB-9794-FC2EE6704315}"/>
    <hyperlink ref="N320" r:id="rId554" xr:uid="{18C98E76-F3DB-4376-8710-7318D9145E73}"/>
    <hyperlink ref="M321" r:id="rId555" location="/mode=instrument&amp;secid=HSIC-RM&amp;boardgroupid=1258&amp;mode_type=history&amp;date_from=2025-07-28" xr:uid="{9DF83110-098D-410D-955C-CF9112FD3155}"/>
    <hyperlink ref="N321" r:id="rId556" xr:uid="{33540350-B990-451F-ADC0-E4B101D8A9C1}"/>
    <hyperlink ref="M322" r:id="rId557" location="/mode=instrument&amp;secid=HRTX-RM&amp;boardgroupid=1258&amp;mode_type=history&amp;date_from=2025-07-28" xr:uid="{0EE1E589-3921-44E5-AA71-C1E618CEFCF8}"/>
    <hyperlink ref="N322" r:id="rId558" xr:uid="{CEF3C5D0-3EB0-4469-8046-F860D1BB3DF0}"/>
    <hyperlink ref="M323" r:id="rId559" location="/mode=instrument&amp;secid=HES-RM&amp;boardgroupid=1258&amp;mode_type=history&amp;date_from=2025-07-28" xr:uid="{41BAAA84-8E97-452C-B830-6465A81F4286}"/>
    <hyperlink ref="N323" r:id="rId560" xr:uid="{14566DF3-1876-4F9C-BCFD-5C40A7671DC8}"/>
    <hyperlink ref="M324" r:id="rId561" location="/mode=instrument&amp;secid=HPE-RM&amp;boardgroupid=1258&amp;mode_type=history&amp;date_from=2025-07-28" xr:uid="{45BAA8AE-7D0B-45CD-8E01-C957730604C4}"/>
    <hyperlink ref="N324" r:id="rId562" xr:uid="{D2E55804-247F-4885-A086-AC22E4213CBE}"/>
    <hyperlink ref="M326" r:id="rId563" location="/mode=instrument&amp;secid=HLT-RM&amp;boardgroupid=1258&amp;mode_type=history&amp;date_from=2025-07-28" xr:uid="{10C241C7-A98F-43E6-8636-75D61E993DB0}"/>
    <hyperlink ref="N326" r:id="rId564" xr:uid="{50F94D63-AEE2-4FB7-824D-6F79D95B40DE}"/>
    <hyperlink ref="M327" r:id="rId565" location="/mode=instrument&amp;secid=HFC-RM&amp;boardgroupid=1258&amp;mode_type=history&amp;date_from=2025-07-28" xr:uid="{87BB9A51-643A-4FD9-A14B-2E0FED323364}"/>
    <hyperlink ref="N327" r:id="rId566" xr:uid="{17E7840D-D9EC-4F23-AF17-EE15FA6DFD98}"/>
    <hyperlink ref="M328" r:id="rId567" location="/mode=instrument&amp;secid=HOLX-RM&amp;boardgroupid=1258&amp;mode_type=history&amp;date_from=2025-07-28" xr:uid="{9F6FC8F1-422A-4083-B2CC-AFFB40EBFE24}"/>
    <hyperlink ref="N328" r:id="rId568" xr:uid="{81D3FD93-C17B-426D-8115-506476BDBD2E}"/>
    <hyperlink ref="M329" r:id="rId569" location="/mode=instrument&amp;secid=HRL-RM&amp;boardgroupid=1258&amp;mode_type=history&amp;date_from=2025-07-28" xr:uid="{D463C8E5-192D-49A2-B66A-5A47E25D601B}"/>
    <hyperlink ref="N329" r:id="rId570" xr:uid="{431D281B-F86C-4B77-93FD-6225A1C41684}"/>
    <hyperlink ref="M330" r:id="rId571" location="/mode=instrument&amp;secid=TWNK-RM&amp;boardgroupid=1258&amp;mode_type=history&amp;date_from=2025-07-28" xr:uid="{A3C8505E-2F9A-45E6-85FC-EBA88EE32C57}"/>
    <hyperlink ref="N330" r:id="rId572" xr:uid="{FAD82C09-DECF-41D2-B0A3-38AC2E7F29AE}"/>
    <hyperlink ref="M331" r:id="rId573" location="/mode=instrument&amp;secid=HWM-RM&amp;boardgroupid=1258&amp;mode_type=history&amp;date_from=2025-07-28" xr:uid="{AC0F7B72-BE97-4209-A77F-519CA4B8F587}"/>
    <hyperlink ref="N331" r:id="rId574" xr:uid="{ECD72A99-1D34-4D5D-B3E3-4171664A432B}"/>
    <hyperlink ref="M332" r:id="rId575" location="/mode=instrument&amp;secid=HPQ-RM&amp;boardgroupid=1258&amp;mode_type=history&amp;date_from=2025-07-28" xr:uid="{081B4163-5726-403B-A37E-F743830645F9}"/>
    <hyperlink ref="N332" r:id="rId576" xr:uid="{4547B03A-EE6A-4F1C-851B-F95D867C6A55}"/>
    <hyperlink ref="M333" r:id="rId577" location="/mode=instrument&amp;secid=HUM-RM&amp;boardgroupid=1258&amp;mode_type=history&amp;date_from=2025-07-28" xr:uid="{F0ED3ADB-A806-4C03-BDA7-82983D1C56D5}"/>
    <hyperlink ref="N333" r:id="rId578" xr:uid="{D4106FCF-7588-4EB3-ACD3-D3DEA6D104A9}"/>
    <hyperlink ref="M334" r:id="rId579" location="/mode=instrument&amp;secid=HBAN-RM&amp;boardgroupid=1258&amp;mode_type=history&amp;date_from=2025-07-28" xr:uid="{D0F9BCC7-1859-4DC1-95D1-79D61F5FECE1}"/>
    <hyperlink ref="N334" r:id="rId580" xr:uid="{03D57048-4EF7-49F8-9E56-D3ECAF955715}"/>
    <hyperlink ref="M335" r:id="rId581" location="/mode=instrument&amp;secid=HYLN-RM&amp;boardgroupid=1258&amp;mode_type=history&amp;date_from=2025-07-28" xr:uid="{810AA16E-C5EC-4D5F-B199-E47375743585}"/>
    <hyperlink ref="N335" r:id="rId582" xr:uid="{29455352-E67C-483F-BC02-256738A2D15B}"/>
    <hyperlink ref="M336" r:id="rId583" location="/mode=instrument&amp;secid=IBM-RM&amp;boardgroupid=1258&amp;mode_type=history&amp;date_from=2025-04-28" xr:uid="{05A10638-7EAC-45EA-9E08-10C67327AD9A}"/>
    <hyperlink ref="N336" r:id="rId584" xr:uid="{3E02EEC3-C38F-4AB2-BFFE-852924197D06}"/>
    <hyperlink ref="M338" r:id="rId585" location="/mode=instrument&amp;secid=IEX-RM&amp;boardgroupid=1258&amp;mode_type=history&amp;date_from=2025-07-28" xr:uid="{6FCEEC4E-709B-4FBB-B3F4-A10D16B89754}"/>
    <hyperlink ref="N338" r:id="rId586" xr:uid="{285CF56A-9DB7-481A-9000-0B8ABB9F0C7B}"/>
    <hyperlink ref="M339" r:id="rId587" location="/mode=instrument&amp;secid=IDXX-RM&amp;boardgroupid=1258&amp;mode_type=history&amp;date_from=2025-07-28" xr:uid="{9495F059-DAFF-4F9B-A89C-2F3F63A80DF2}"/>
    <hyperlink ref="N339" r:id="rId588" xr:uid="{C3F8450D-3DEC-48EF-A43A-9C8D6A217456}"/>
    <hyperlink ref="M340" r:id="rId589" location="/mode=instrument&amp;secid=ITW-RM&amp;boardgroupid=1258&amp;mode_type=history&amp;date_from=2025-07-28" xr:uid="{053F96D4-6D2D-4644-ACBA-768D72D3DF41}"/>
    <hyperlink ref="N340" r:id="rId590" xr:uid="{D3324A76-217F-4D5F-AA79-6C0A04F7A938}"/>
    <hyperlink ref="M341" r:id="rId591" location="/mode=instrument&amp;secid=ILMN-RM&amp;boardgroupid=1258&amp;mode_type=history&amp;date_from=2025-07-28" xr:uid="{FEAB1179-C384-4325-8649-5117931FBD5F}"/>
    <hyperlink ref="N341" r:id="rId592" xr:uid="{3797B8E7-9367-4999-A71E-CB79FF20DFD0}"/>
    <hyperlink ref="M342" r:id="rId593" location="/mode=instrument&amp;secid=INCY-RM&amp;boardgroupid=1258&amp;mode_type=history&amp;date_from=2025-07-28" xr:uid="{AE905667-697F-4266-B8D7-E220BF53B0A4}"/>
    <hyperlink ref="N342" r:id="rId594" xr:uid="{1FA27174-D2F8-44D2-97F2-CEEE73EFDB89}"/>
    <hyperlink ref="M344" r:id="rId595" location="/mode=instrument&amp;secid=IR-RM&amp;boardgroupid=1258&amp;mode_type=history&amp;date_from=2025-07-28" xr:uid="{0047818A-D5E9-4C5D-8B0B-DF63EECA0945}"/>
    <hyperlink ref="N344" r:id="rId596" xr:uid="{4472E48E-EF05-4860-93A6-F009528E5A62}"/>
    <hyperlink ref="M345" r:id="rId597" location="/mode=instrument&amp;secid=INSG-RM&amp;boardgroupid=1258&amp;mode_type=history&amp;date_from=2025-07-28" xr:uid="{CC5B91DE-0772-4684-B370-E96222867CEA}"/>
    <hyperlink ref="N345" r:id="rId598" xr:uid="{B9D96AAD-31CF-47CB-A32D-093CBEA695E5}"/>
    <hyperlink ref="M346" r:id="rId599" location="/mode=instrument&amp;secid=INTC-RM&amp;boardgroupid=1258&amp;mode_type=history&amp;date_from=2025-04-28" xr:uid="{9EFFEBF2-1582-46FA-A870-7F9D57D36FD3}"/>
    <hyperlink ref="N346" r:id="rId600" xr:uid="{62712FD5-DB27-4E61-8275-B6DADD252C05}"/>
    <hyperlink ref="M347" r:id="rId601" location="/mode=instrument&amp;secid=NTLA-RM&amp;boardgroupid=1258&amp;mode_type=history&amp;date_from=2025-07-28" xr:uid="{28EF1435-67CE-4F03-99D5-68EACA637E0F}"/>
    <hyperlink ref="N347" r:id="rId602" xr:uid="{409E149F-0282-47A0-9208-57690E5E07E1}"/>
    <hyperlink ref="M348" r:id="rId603" location="/mode=instrument&amp;secid=IFF-RM&amp;boardgroupid=1258&amp;mode_type=history&amp;date_from=2025-07-28" xr:uid="{D15203BB-1E9C-41AB-A81D-D88912A7B2DD}"/>
    <hyperlink ref="N348" r:id="rId604" xr:uid="{C4F38833-04D4-4B49-8A68-00C14AB07B02}"/>
    <hyperlink ref="M350" r:id="rId605" location="/mode=instrument&amp;secid=ICE-RM&amp;boardgroupid=1258&amp;mode_type=history&amp;date_from=2025-07-28" xr:uid="{9CE41782-6087-4742-A694-9DE2A53B7982}"/>
    <hyperlink ref="N350" r:id="rId606" xr:uid="{DF224097-75E2-4314-88F7-C9A6C51BB148}"/>
    <hyperlink ref="M351" r:id="rId607" location="/mode=instrument&amp;secid=IP-RM&amp;boardgroupid=1258&amp;mode_type=history&amp;date_from=2025-07-28" xr:uid="{83E7787D-D90E-47A1-A0FA-13FB8D7D3EAB}"/>
    <hyperlink ref="N351" r:id="rId608" xr:uid="{DCC40DC4-8947-4B80-B034-278042512D53}"/>
    <hyperlink ref="M352" r:id="rId609" location="/mode=instrument&amp;secid=IPG-RM&amp;boardgroupid=1258&amp;mode_type=history&amp;date_from=2025-07-28" xr:uid="{6D062C31-BAE6-4BA5-A8DD-DCA98D0C21D6}"/>
    <hyperlink ref="N352" r:id="rId610" xr:uid="{9CE5F74D-EA2B-4D0A-B098-C05075CA85E0}"/>
    <hyperlink ref="M353" r:id="rId611" location="/mode=instrument&amp;secid=INTU-RM&amp;boardgroupid=1258&amp;mode_type=history&amp;date_from=2025-07-28" xr:uid="{CA8C24C9-C65E-492C-A57F-A7489783ACE8}"/>
    <hyperlink ref="N353" r:id="rId612" xr:uid="{BB9C1BB4-9587-4D07-A251-8935C4BE1656}"/>
    <hyperlink ref="M354" r:id="rId613" location="/mode=instrument&amp;secid=ISRG-RM&amp;boardgroupid=1258&amp;mode_type=history&amp;date_from=2025-04-28" xr:uid="{00E7816B-DB05-4F2B-9214-4D3A1D3CEFCF}"/>
    <hyperlink ref="N354" r:id="rId614" xr:uid="{49E57297-8067-4622-9BAA-2EC9E939F848}"/>
    <hyperlink ref="M356" r:id="rId615" location="/mode=instrument&amp;secid=NVTA-RM&amp;boardgroupid=1258&amp;mode_type=history&amp;date_from=2025-07-28" xr:uid="{E66D8BC2-F272-4F5A-994D-019CB25A6CB9}"/>
    <hyperlink ref="N356" r:id="rId616" xr:uid="{80666072-0C71-48D7-8AD2-047C38C5FC47}"/>
    <hyperlink ref="M357" r:id="rId617" location="/mode=instrument&amp;secid=IONS-RM&amp;boardgroupid=1258&amp;mode_type=history&amp;date_from=2025-07-28" xr:uid="{8B60EED1-6E78-4765-918B-657334156544}"/>
    <hyperlink ref="N357" r:id="rId618" xr:uid="{1CE98187-DB5A-4866-9569-2D724E9BB989}"/>
    <hyperlink ref="M358" r:id="rId619" location="/mode=instrument&amp;secid=IOVA-RM&amp;boardgroupid=1258&amp;mode_type=history&amp;date_from=2025-07-28" xr:uid="{C498DD3E-2FF9-4B14-B2B6-1BB5B3080343}"/>
    <hyperlink ref="N358" r:id="rId620" xr:uid="{1022120B-FAE7-4401-AFCE-8E6CD2AFBC7F}"/>
    <hyperlink ref="M359" r:id="rId621" location="/mode=instrument&amp;secid=IPGP-RM&amp;boardgroupid=1258&amp;mode_type=history&amp;date_from=2025-07-28" xr:uid="{8B59FB77-F3C7-4920-AB90-EB9A90A97F6C}"/>
    <hyperlink ref="N359" r:id="rId622" xr:uid="{3614753C-5A76-4DD5-BC59-0E75A746BFDC}"/>
    <hyperlink ref="M360" r:id="rId623" location="/mode=instrument&amp;secid=IQV-RM&amp;boardgroupid=1258&amp;mode_type=history&amp;date_from=2025-07-28" xr:uid="{070F7715-CCC3-4675-BB9D-4A6BD89A23AA}"/>
    <hyperlink ref="N360" r:id="rId624" xr:uid="{818F8EE3-AC36-4AA3-B846-03B2899DC701}"/>
    <hyperlink ref="M364" r:id="rId625" location="/mode=instrument&amp;secid=SJM-RM&amp;boardgroupid=1258&amp;mode_type=history&amp;date_from=2025-07-28" xr:uid="{3B83E072-87FE-4B1B-96B3-A112CD286ACD}"/>
    <hyperlink ref="N364" r:id="rId626" xr:uid="{DFBDC968-3BE9-44C0-9091-CD53CE5CA5F1}"/>
    <hyperlink ref="M365" r:id="rId627" location="/mode=instrument&amp;secid=JBHT-RM&amp;boardgroupid=1258&amp;mode_type=history&amp;date_from=2025-07-28" xr:uid="{8AE348B6-53B1-4FC1-A3AE-99078DA285D4}"/>
    <hyperlink ref="N365" r:id="rId628" xr:uid="{0AC6C3EB-6B90-40FD-AFD2-C52DFE275DFE}"/>
    <hyperlink ref="M366" r:id="rId629" location="/mode=instrument&amp;secid=JKHY-RM&amp;boardgroupid=1258&amp;mode_type=history&amp;date_from=2025-07-28" xr:uid="{2C0B7DAD-B86B-46B9-8707-294FFC94CC8B}"/>
    <hyperlink ref="N366" r:id="rId630" xr:uid="{61D59763-F4DD-40DA-98F9-70E8F4E57B11}"/>
    <hyperlink ref="M367" r:id="rId631" location="/mode=instrument&amp;secid=J-RM&amp;boardgroupid=1258&amp;mode_type=history&amp;date_from=2025-07-28" xr:uid="{7DD8D42C-3358-4FCB-8CD0-2A45C068411E}"/>
    <hyperlink ref="N367" r:id="rId632" xr:uid="{7380D801-6548-4D6A-BB9E-7916FF431861}"/>
    <hyperlink ref="M368" r:id="rId633" location="/mode=instrument&amp;secid=JEF-RM&amp;boardgroupid=1258&amp;mode_type=history&amp;date_from=2025-07-28" xr:uid="{C1F01606-A10A-4ECF-B031-957FFED82F4B}"/>
    <hyperlink ref="N368" r:id="rId634" xr:uid="{BB214149-AE65-475F-BBDB-51F72F9AF311}"/>
    <hyperlink ref="M369" r:id="rId635" location="/mode=instrument&amp;secid=JNJ-RM&amp;boardgroupid=1258&amp;mode_type=history&amp;date_from=2025-04-28" xr:uid="{51BD01CF-21F3-4C97-8686-F490A8A149CB}"/>
    <hyperlink ref="N369" r:id="rId636" xr:uid="{B7772D0D-FDCE-44A9-8BD7-B956C9F706EE}"/>
    <hyperlink ref="M371" r:id="rId637" location="/mode=instrument&amp;secid=JPM-RM&amp;boardgroupid=1258&amp;mode_type=history&amp;date_from=2025-04-28" xr:uid="{7EA6A712-29AA-4D1A-AA81-A198800CEC52}"/>
    <hyperlink ref="N371" r:id="rId638" xr:uid="{BF7C5A7B-CDFF-49E7-B2F6-72FBF163AAEA}"/>
    <hyperlink ref="M373" r:id="rId639" location="/mode=instrument&amp;secid=JNPR-RM&amp;boardgroupid=1258&amp;mode_type=history&amp;date_from=2025-07-28" xr:uid="{CD311D6D-47BC-46E0-98FB-CF5975E2D47F}"/>
    <hyperlink ref="N373" r:id="rId640" xr:uid="{F3A891BC-16E9-49B7-A29F-5676A1BF46D8}"/>
    <hyperlink ref="M374" r:id="rId641" location="/mode=instrument&amp;secid=KSU-RM&amp;boardgroupid=1258&amp;mode_type=history&amp;date_from=2025-07-28" xr:uid="{8FB03CB7-EF85-48B2-87AF-98193228C6D9}"/>
    <hyperlink ref="N374" r:id="rId642" xr:uid="{FD59CD03-69DC-4E92-B572-21467F9864F9}"/>
    <hyperlink ref="M375" r:id="rId643" location="/mode=instrument&amp;secid=K-RM&amp;boardgroupid=1258&amp;mode_type=history&amp;date_from=2025-07-28" xr:uid="{659279AC-C2E6-4EA9-A788-58C44DE5E7E7}"/>
    <hyperlink ref="N375" r:id="rId644" xr:uid="{3A96AA6F-AB37-4E6A-8001-4B7F552A40B2}"/>
    <hyperlink ref="M376" r:id="rId645" location="/mode=instrument&amp;secid=KDP-RM&amp;boardgroupid=1258&amp;mode_type=history&amp;date_from=2025-07-28" xr:uid="{9661EEC3-8433-4C9A-AD5B-D3428031A0AC}"/>
    <hyperlink ref="N376" r:id="rId646" xr:uid="{74DB4322-C867-484F-85AE-84325D52434C}"/>
    <hyperlink ref="M377" r:id="rId647" location="/mode=instrument&amp;secid=KEY-RM&amp;boardgroupid=1258&amp;mode_type=history&amp;date_from=2025-07-28" xr:uid="{DF3DB48A-5155-4EDC-9C5E-E1D52B255110}"/>
    <hyperlink ref="N377" r:id="rId648" xr:uid="{DD9230F9-DAEA-4ADF-B470-C30B63E1A6CB}"/>
    <hyperlink ref="M378" r:id="rId649" location="/mode=instrument&amp;secid=KEYS-RM&amp;boardgroupid=1258&amp;mode_type=history&amp;date_from=2025-07-28" xr:uid="{726A4297-9588-4D41-B71A-85D46F90925F}"/>
    <hyperlink ref="N378" r:id="rId650" xr:uid="{27492411-D1BB-45C6-93B6-A8087212A13A}"/>
    <hyperlink ref="M379" r:id="rId651" location="/mode=instrument&amp;secid=KMB-RM&amp;boardgroupid=1258&amp;mode_type=history&amp;date_from=2025-07-28" xr:uid="{CA8EA681-B8BA-464E-B373-21D0910BBC78}"/>
    <hyperlink ref="N379" r:id="rId652" xr:uid="{4C3B7F0C-AC7A-44D0-8BC9-276C5FC9C4E0}"/>
    <hyperlink ref="M380" r:id="rId653" location="/mode=instrument&amp;secid=KMI-RM&amp;boardgroupid=1258&amp;mode_type=history&amp;date_from=2025-07-28" xr:uid="{5F820766-65F2-4948-9C6F-367E9B7B0839}"/>
    <hyperlink ref="N380" r:id="rId654" xr:uid="{402812B8-3696-4A8D-A22B-FA4AEFC8DF57}"/>
    <hyperlink ref="M381" r:id="rId655" location="/mode=instrument&amp;secid=KKR-RM&amp;boardgroupid=1258&amp;mode_type=history&amp;date_from=2025-07-28" xr:uid="{76049271-B1BF-4C21-A698-12BEDE751B13}"/>
    <hyperlink ref="N381" r:id="rId656" xr:uid="{23252604-3CE9-4ED3-98E0-63F2ED6D4274}"/>
    <hyperlink ref="M382" r:id="rId657" location="/mode=instrument&amp;secid=KLAC-RM&amp;boardgroupid=1258&amp;mode_type=history&amp;date_from=2025-04-28" xr:uid="{7B530714-C4D2-41A7-9A22-0BE07B42C315}"/>
    <hyperlink ref="N382" r:id="rId658" xr:uid="{E0E66056-0C51-49EF-A116-D79DFCD85769}"/>
    <hyperlink ref="M383" r:id="rId659" location="/mode=instrument&amp;secid=KNX-RM&amp;boardgroupid=1258&amp;mode_type=history&amp;date_from=2025-07-28" xr:uid="{233BEF33-8FC1-4D3C-825E-229418BF1CBC}"/>
    <hyperlink ref="N383" r:id="rId660" xr:uid="{396CDC10-7374-406F-815E-FFF61FA42BF5}"/>
    <hyperlink ref="M384" r:id="rId661" location="/mode=instrument&amp;secid=KOPN-RM&amp;boardgroupid=1258&amp;mode_type=history&amp;date_from=2025-07-28" xr:uid="{EF77329D-9437-428E-88BF-DE258109A0B3}"/>
    <hyperlink ref="N384" r:id="rId662" xr:uid="{E69149D9-BD0E-4586-BAB1-9D24F217F852}"/>
    <hyperlink ref="M385" r:id="rId663" location="/mode=instrument&amp;secid=KHC-RM&amp;boardgroupid=1258&amp;mode_type=history&amp;date_from=2025-04-28" xr:uid="{C0816715-3EC0-4B88-9656-38CB69703454}"/>
    <hyperlink ref="N385" r:id="rId664" xr:uid="{B2BD17C2-276F-46B3-A228-BF843B79A24B}"/>
    <hyperlink ref="M386" r:id="rId665" location="/mode=instrument&amp;secid=KD-RM&amp;boardgroupid=1258&amp;mode_type=history&amp;date_from=2025-07-28" xr:uid="{2B5A4304-C844-444E-8CDD-F96731164DE6}"/>
    <hyperlink ref="N386" r:id="rId666" xr:uid="{EC23EC83-8B13-484C-978F-A6592CC57C55}"/>
    <hyperlink ref="M387" r:id="rId667" location="/mode=instrument&amp;secid=LH-RM&amp;boardgroupid=1258&amp;mode_type=history&amp;date_from=2025-07-28" xr:uid="{A7900826-D6DB-405A-9883-3E0DE0F45108}"/>
    <hyperlink ref="N387" r:id="rId668" xr:uid="{6ED56048-296E-4C83-B490-81FCDA37F167}"/>
    <hyperlink ref="M388" r:id="rId669" location="/mode=instrument&amp;secid=LRCX-RM&amp;boardgroupid=1258&amp;mode_type=history&amp;date_from=2025-07-28" xr:uid="{209EDA0C-C402-4267-8E76-404FABC5E521}"/>
    <hyperlink ref="N388" r:id="rId670" xr:uid="{D30B471D-390A-473E-964E-7CD6E839A7E0}"/>
    <hyperlink ref="M389" r:id="rId671" location="/mode=instrument&amp;secid=LW-RM&amp;boardgroupid=1258&amp;mode_type=history&amp;date_from=2025-07-28" xr:uid="{ADB60379-9E39-42E4-B028-96F5CA816639}"/>
    <hyperlink ref="N389" r:id="rId672" xr:uid="{0778C18E-F7B4-48B1-81C2-3F2AA8714FC5}"/>
    <hyperlink ref="M390" r:id="rId673" location="/mode=instrument&amp;secid=LVS-RM&amp;boardgroupid=1258&amp;mode_type=history&amp;date_from=2025-04-28" xr:uid="{E5D5901A-88C3-405C-9AF9-9E733E0BBF5F}"/>
    <hyperlink ref="N390" r:id="rId674" xr:uid="{553C0F28-65FB-45DE-A09C-05FC34653202}"/>
    <hyperlink ref="M391" r:id="rId675" location="/mode=instrument&amp;secid=LSCC-RM&amp;boardgroupid=1258&amp;mode_type=history&amp;date_from=2025-05-01&amp;date_till=2025-10-23" display="https://www.moex.com/ru/marketdata/#/mode=instrument&amp;secid=LSCC-RM&amp;boardgroupid=1258&amp;mode_type=history&amp;date_from=2025-05-01&amp;date_till=2025-10-23" xr:uid="{A9FFAEF8-0B6E-44EC-91B0-DE1A029282E6}"/>
    <hyperlink ref="N391" r:id="rId676" xr:uid="{41ABFDC9-496C-4BED-9310-376E30864122}"/>
    <hyperlink ref="M392" r:id="rId677" location="/mode=instrument&amp;secid=LEG-RM&amp;boardgroupid=1258&amp;mode_type=history&amp;date_from=2025-07-28" xr:uid="{0BF08AD1-F5C8-424F-AE6E-16B195283C7D}"/>
    <hyperlink ref="N392" r:id="rId678" xr:uid="{39D63F18-3E13-46E8-86F7-359B4E7A9663}"/>
    <hyperlink ref="M395" r:id="rId679" location="/mode=instrument&amp;secid=LEN-RM&amp;boardgroupid=1258&amp;mode_type=history&amp;date_from=2025-07-28" xr:uid="{2F43F69C-6657-4F23-98E6-F61D492B4526}"/>
    <hyperlink ref="N395" r:id="rId680" xr:uid="{B3F8B696-606D-4344-BA63-F7A21D77066B}"/>
    <hyperlink ref="M396" r:id="rId681" location="/mode=instrument&amp;secid=LNC-RM&amp;boardgroupid=1258&amp;mode_type=history&amp;date_from=2025-07-28" xr:uid="{738888CA-5882-40FB-8710-458EA5FB46D1}"/>
    <hyperlink ref="N396" r:id="rId682" xr:uid="{50AB43D1-BAA8-4141-A31F-5F719E4B7A0B}"/>
    <hyperlink ref="M397" r:id="rId683" location="/mode=instrument&amp;secid=LYV-RM&amp;boardgroupid=1258&amp;mode_type=history&amp;date_from=2025-07-28" xr:uid="{EC7BD53E-BF94-4870-8DBB-08BD7D65EFB6}"/>
    <hyperlink ref="N397" r:id="rId684" xr:uid="{D3CBC3A4-8204-434E-AFC8-A1A86355BDA4}"/>
    <hyperlink ref="M398" r:id="rId685" location="/mode=instrument&amp;secid=LTHM-RM&amp;boardgroupid=1258&amp;mode_type=history&amp;date_from=2025-07-28" xr:uid="{42CC4CEA-79CE-4795-BB02-53D045FC479A}"/>
    <hyperlink ref="N398" r:id="rId686" xr:uid="{DEF10373-1907-4CB8-95B0-066AC0B30F40}"/>
    <hyperlink ref="M399" r:id="rId687" location="/mode=instrument&amp;secid=LKQ-RM&amp;boardgroupid=1258&amp;mode_type=history&amp;date_from=2025-07-28" xr:uid="{1AEB0AEC-1FC2-4DDE-872B-F392FB6A574C}"/>
    <hyperlink ref="N399" r:id="rId688" xr:uid="{602DDB1C-68FC-47DC-9D28-BD11C66A95DD}"/>
    <hyperlink ref="M400" r:id="rId689" location="/mode=instrument&amp;secid=L-RM&amp;boardgroupid=1258&amp;mode_type=history&amp;date_from=2025-07-28" xr:uid="{83EB9046-1FC7-4420-9AD4-50703421D5B0}"/>
    <hyperlink ref="N400" r:id="rId690" xr:uid="{C0D29698-081D-4321-807D-983860AB963A}"/>
    <hyperlink ref="M401" r:id="rId691" location="/mode=instrument&amp;secid=RIDE-RM&amp;boardgroupid=1258&amp;mode_type=history&amp;date_from=2025-07-28" xr:uid="{7A87BA62-FABF-4DE0-B6B4-69573BA8794B}"/>
    <hyperlink ref="N401" r:id="rId692" xr:uid="{44F91A01-E9D6-4C80-BA11-8C44AAC5F9D0}"/>
    <hyperlink ref="M402" r:id="rId693" location="/mode=instrument&amp;secid=LPX-RM&amp;boardgroupid=1258&amp;mode_type=history&amp;date_from=2025-07-28" xr:uid="{F9FE733A-493E-45C7-BEAF-222CEC0DA8DD}"/>
    <hyperlink ref="N402" r:id="rId694" xr:uid="{27398870-0734-4CC8-9C57-66D123AE63C5}"/>
    <hyperlink ref="M403" r:id="rId695" location="/mode=instrument&amp;secid=LOW-RM&amp;boardgroupid=1258&amp;mode_type=history&amp;date_from=2025-07-28" xr:uid="{BF078146-90DF-47DA-8166-4D708C6D986D}"/>
    <hyperlink ref="N403" r:id="rId696" xr:uid="{DB32F38A-FECE-4E2E-8EB4-4F08BEA673AC}"/>
    <hyperlink ref="M404" r:id="rId697" location="/mode=instrument&amp;secid=LULU-RM&amp;boardgroupid=1258&amp;mode_type=history&amp;date_from=2025-07-28" xr:uid="{B859C964-DF27-469E-8F84-E353A7E09653}"/>
    <hyperlink ref="N404" r:id="rId698" xr:uid="{9D87BC0C-3227-433B-B6F6-BE17B1490C38}"/>
    <hyperlink ref="M405" r:id="rId699" location="/mode=instrument&amp;secid=LUMN-RM&amp;boardgroupid=1258&amp;mode_type=history&amp;date_from=2025-07-28" xr:uid="{CB76B839-F971-431C-BD39-29C89B61D557}"/>
    <hyperlink ref="N405" r:id="rId700" xr:uid="{29B6317D-097F-42F8-8D53-B21207A3E98D}"/>
    <hyperlink ref="M406" r:id="rId701" location="/mode=instrument&amp;secid=LAZR-RM&amp;boardgroupid=1258&amp;mode_type=history&amp;date_from=2025-07-28" xr:uid="{30661837-C1CD-43BE-BE61-8DCE98E0C0AF}"/>
    <hyperlink ref="N406" r:id="rId702" xr:uid="{B288CFA1-E730-4BD3-8D78-83054B4180D0}"/>
    <hyperlink ref="M407" r:id="rId703" location="/mode=instrument&amp;secid=LYFT-RM&amp;boardgroupid=1258&amp;mode_type=history&amp;date_from=2025-07-28" xr:uid="{88BC2E90-CE05-4DF8-9583-3B29BCCB8A2A}"/>
    <hyperlink ref="N407" r:id="rId704" xr:uid="{24AE82F4-B4CA-44E7-8A21-8C0442DD325C}"/>
    <hyperlink ref="M408" r:id="rId705" location="/mode=instrument&amp;secid=MTB-RM&amp;boardgroupid=1258&amp;mode_type=history&amp;date_from=2025-07-28" xr:uid="{253B002C-2640-4F23-927B-E4E9DCC99D96}"/>
    <hyperlink ref="N408" r:id="rId706" xr:uid="{F7FDCCEE-B849-4654-912F-35EBB2BE1AAB}"/>
    <hyperlink ref="M409" r:id="rId707" location="/mode=instrument&amp;secid=M-RM&amp;boardgroupid=1258&amp;mode_type=history&amp;date_from=2025-04-28" xr:uid="{DC80C8FB-4A82-4493-8482-05CF0C318698}"/>
    <hyperlink ref="N409" r:id="rId708" xr:uid="{A3776318-EA27-40AD-8228-E05B23AEAE0A}"/>
    <hyperlink ref="M411" r:id="rId709" location="/mode=instrument&amp;secid=MRO-RM&amp;boardgroupid=1258&amp;mode_type=history&amp;date_from=2025-07-28" xr:uid="{16DB773E-2935-44F2-91AB-B2B438A7FF0F}"/>
    <hyperlink ref="N411" r:id="rId710" xr:uid="{ACC97C6A-ACC2-4159-AFFE-EDFFCEE169F8}"/>
    <hyperlink ref="M412" r:id="rId711" location="/mode=instrument&amp;secid=MPC-RM&amp;boardgroupid=1258&amp;mode_type=history&amp;date_from=2025-07-28" xr:uid="{48D85836-67AD-46E1-A083-929F7627714E}"/>
    <hyperlink ref="N412" r:id="rId712" xr:uid="{B974EE83-8872-4F5F-89F9-B829045B6FF2}"/>
    <hyperlink ref="M413" r:id="rId713" location="/mode=instrument&amp;secid=MKTX-RM&amp;boardgroupid=1258&amp;mode_type=history&amp;date_from=2025-07-28" xr:uid="{C566B4CC-2A65-4846-82AA-A8BC36791CA7}"/>
    <hyperlink ref="N413" r:id="rId714" xr:uid="{3AB715C1-4DC7-4629-BE1F-754B1FE0C5D0}"/>
    <hyperlink ref="M414" r:id="rId715" location="/mode=instrument&amp;secid=MQ-RM&amp;boardgroupid=1258&amp;mode_type=history&amp;date_from=2025-07-28" xr:uid="{B31BF229-2707-4B2F-A887-D79A88FEC2C0}"/>
    <hyperlink ref="N414" r:id="rId716" xr:uid="{CCD27B23-D0AD-4E0B-97F7-44E815DD824C}"/>
    <hyperlink ref="M415" r:id="rId717" location="/mode=instrument&amp;secid=MAR-RM&amp;boardgroupid=1258&amp;mode_type=history&amp;date_from=2025-04-28" xr:uid="{5F8DC68B-EEF5-459B-AD9F-62EDEE983802}"/>
    <hyperlink ref="N415" r:id="rId718" xr:uid="{0189306D-C34D-4875-A7BD-B97CFBE58D3B}"/>
    <hyperlink ref="M416" r:id="rId719" location="/mode=instrument&amp;secid=MMC-RM&amp;boardgroupid=1258&amp;mode_type=history&amp;date_from=2025-07-28" xr:uid="{A8B29239-5B2D-4C74-8295-2277812A1A7C}"/>
    <hyperlink ref="N416" r:id="rId720" xr:uid="{FB40267E-F381-4E45-A380-C00DA32E1C10}"/>
    <hyperlink ref="M417" r:id="rId721" location="/mode=instrument&amp;secid=MLM-RM&amp;boardgroupid=1258&amp;mode_type=history&amp;date_from=2025-07-28" xr:uid="{365DD1C6-1748-452F-B897-9D9389F89678}"/>
    <hyperlink ref="N417" r:id="rId722" xr:uid="{498EA460-D5DF-44B7-AAC6-0664AB580D41}"/>
    <hyperlink ref="M418" r:id="rId723" location="/mode=instrument&amp;secid=MAS-RM&amp;boardgroupid=1258&amp;mode_type=history&amp;date_from=2025-07-28" xr:uid="{EEF80290-1374-4723-9D84-A4F1A61003AF}"/>
    <hyperlink ref="N418" r:id="rId724" xr:uid="{2BCE6C6A-247B-4E83-8939-A20B97F0C488}"/>
    <hyperlink ref="M419" r:id="rId725" location="/mode=instrument&amp;secid=MA-RM&amp;boardgroupid=1258&amp;mode_type=history&amp;date_from=2025-04-28" xr:uid="{33729EB4-A7FF-47F9-808F-53119F7F9DAA}"/>
    <hyperlink ref="N419" r:id="rId726" xr:uid="{95EEF5D1-2CC0-4301-B242-CF3E6F4B7AE9}"/>
    <hyperlink ref="M420" r:id="rId727" location="/mode=instrument&amp;secid=MTCH-RM&amp;boardgroupid=1258&amp;mode_type=history&amp;date_from=2025-07-28" xr:uid="{5AA62D0C-7643-40A8-A46F-388DA7EBA268}"/>
    <hyperlink ref="N420" r:id="rId728" xr:uid="{AE9234FB-8571-4911-A0A4-D73B07744304}"/>
    <hyperlink ref="M421" r:id="rId729" location="/mode=instrument&amp;secid=MAT-RM&amp;boardgroupid=1258&amp;mode_type=history&amp;date_from=2025-07-28" xr:uid="{587B635F-573A-4578-A4F4-C75411906165}"/>
    <hyperlink ref="N421" r:id="rId730" xr:uid="{F5637916-0AA5-415E-9822-90EF108FB966}"/>
    <hyperlink ref="M422" r:id="rId731" location="/mode=instrument&amp;secid=MKC-RM&amp;boardgroupid=1258&amp;mode_type=history&amp;date_from=2025-07-28" xr:uid="{29C959C6-4A0C-4023-904F-D6E057F084D1}"/>
    <hyperlink ref="N422" r:id="rId732" xr:uid="{2D91AB0C-6248-4885-B56B-E296306D99C5}"/>
    <hyperlink ref="M423" r:id="rId733" location="/mode=instrument&amp;secid=MCD-RM&amp;boardgroupid=1258&amp;mode_type=history&amp;date_from=2025-04-28" xr:uid="{EB6A2A46-1995-4DAB-8C32-8FA266C6E659}"/>
    <hyperlink ref="N423" r:id="rId734" xr:uid="{C45A5ACB-011F-4EF9-96BE-C19FCF329319}"/>
    <hyperlink ref="M424" r:id="rId735" location="/mode=instrument&amp;secid=MCK-RM&amp;boardgroupid=1258&amp;mode_type=history&amp;date_from=2025-07-28" xr:uid="{7B9C9D81-DD74-4E5A-8B1F-2F75458D0C7C}"/>
    <hyperlink ref="N424" r:id="rId736" xr:uid="{534DFECD-D6C3-4EAE-B40E-1C02100B1629}"/>
    <hyperlink ref="M427" r:id="rId737" location="/mode=instrument&amp;secid=MRK-RM&amp;boardgroupid=1258&amp;mode_type=history&amp;date_from=2025-04-28" xr:uid="{E1DA8ACE-C1E8-47BE-A9BF-F27065796301}"/>
    <hyperlink ref="N427" r:id="rId738" xr:uid="{74FF6220-E177-4D4D-9F35-189B749D136B}"/>
    <hyperlink ref="M429" r:id="rId739" location="/mode=instrument&amp;secid=MET-RM&amp;boardgroupid=1258&amp;mode_type=history&amp;date_from=2025-07-28" xr:uid="{21BB4ECA-0BDE-487A-8EA6-471770545029}"/>
    <hyperlink ref="N429" r:id="rId740" xr:uid="{147AE0AC-04D6-416B-AFC2-CE15B89F600C}"/>
    <hyperlink ref="M430" r:id="rId741" location="/mode=instrument&amp;secid=MTD-RM&amp;boardgroupid=1258&amp;mode_type=history&amp;date_from=2025-07-28" xr:uid="{479E337D-7C00-4877-B7B5-19746B010B66}"/>
    <hyperlink ref="N430" r:id="rId742" xr:uid="{58660207-8021-4E75-BF94-06DF8E36B328}"/>
    <hyperlink ref="M431" r:id="rId743" location="/mode=instrument&amp;secid=MTG-RM&amp;boardgroupid=1258&amp;mode_type=history&amp;date_from=2025-07-28" xr:uid="{AD430661-81D4-4855-82FB-5BEA42F876CF}"/>
    <hyperlink ref="N431" r:id="rId744" xr:uid="{B4F8473F-2FE7-4173-AD83-BB189713AD0B}"/>
    <hyperlink ref="M432" r:id="rId745" location="/mode=instrument&amp;secid=MGM-RM&amp;boardgroupid=1258&amp;mode_type=history&amp;date_from=2025-07-28" xr:uid="{8F8890E6-6724-416F-AEC7-2D00CF58A757}"/>
    <hyperlink ref="N432" r:id="rId746" xr:uid="{31E8B17B-C95E-4C71-A023-8222A63C5EAB}"/>
    <hyperlink ref="M433" r:id="rId747" location="/mode=instrument&amp;secid=MGY-RM&amp;boardgroupid=1258&amp;mode_type=history&amp;date_from=2025-07-28" xr:uid="{AC56296D-728A-435D-8246-F1D2CC14E5B2}"/>
    <hyperlink ref="N433" r:id="rId748" xr:uid="{C1D2A0DF-7827-4E0A-9098-A8D6BC5414EB}"/>
    <hyperlink ref="M434" r:id="rId749" location="/mode=instrument&amp;secid=MCHP-RM&amp;boardgroupid=1258&amp;mode_type=history&amp;date_from=2025-07-28" xr:uid="{84D554B0-3C39-4980-A284-646E2E53DE18}"/>
    <hyperlink ref="N434" r:id="rId750" xr:uid="{6002574F-887C-4135-9B05-68A634432CC5}"/>
    <hyperlink ref="M436" r:id="rId751" location="/mode=instrument&amp;secid=MSFT-RM&amp;boardgroupid=1258&amp;mode_type=history&amp;date_from=2025-04-28" xr:uid="{16C7B295-816C-4053-B06B-C313B171A95A}"/>
    <hyperlink ref="N436" r:id="rId752" xr:uid="{8CF2A833-DCEE-4FB4-92A0-AEDC5D805ADC}"/>
    <hyperlink ref="M437" r:id="rId753" location="/mode=instrument&amp;secid=MSTR-RM&amp;boardgroupid=1258&amp;mode_type=history&amp;date_from=2025-04-28" xr:uid="{7D13BF87-6C86-4D31-BEDA-229F17CB9B0D}"/>
    <hyperlink ref="N437" r:id="rId754" xr:uid="{69E1EF81-027A-4672-9DDB-FBB35F0442AF}"/>
    <hyperlink ref="M438" r:id="rId755" location="/mode=instrument&amp;secid=MVIS-RM&amp;boardgroupid=1258&amp;mode_type=history&amp;date_from=2025-07-28" xr:uid="{73682211-4200-4E2F-BFAB-E6DC515EAE23}"/>
    <hyperlink ref="N438" r:id="rId756" xr:uid="{FCD78518-3ED6-4117-9663-73621A4893D5}"/>
    <hyperlink ref="M439" r:id="rId757" location="/mode=instrument&amp;secid=MRNA-RM&amp;boardgroupid=1258&amp;mode_type=history&amp;date_from=2025-07-28" xr:uid="{13F76BC2-1117-40DE-A966-B2B7F2E2BE10}"/>
    <hyperlink ref="N439" r:id="rId758" xr:uid="{78C7E11F-5463-4D93-9CCA-47BFCCC0C54B}"/>
    <hyperlink ref="M440" r:id="rId759" location="/mode=instrument&amp;secid=MHK-RM&amp;boardgroupid=1258&amp;mode_type=history&amp;date_from=2025-07-28" xr:uid="{65121D42-3AD5-434D-9C1F-BC9C51326A84}"/>
    <hyperlink ref="N440" r:id="rId760" xr:uid="{3FEF4276-FA36-4226-B2DC-91EED35B0F77}"/>
    <hyperlink ref="M441" r:id="rId761" location="/mode=instrument&amp;secid=TAP-RM&amp;boardgroupid=1258&amp;mode_type=history&amp;date_from=2025-07-28" xr:uid="{EB51BD38-5AD5-4DA9-B8EF-6F0FA8048F3B}"/>
    <hyperlink ref="N441" r:id="rId762" xr:uid="{8BB12A61-8590-47D1-8587-4357C0A669C9}"/>
    <hyperlink ref="M442" r:id="rId763" location="/mode=instrument&amp;secid=MDLZ-RM&amp;boardgroupid=1258&amp;mode_type=history&amp;date_from=2025-07-28" xr:uid="{85E9BDEB-9C18-4614-AA2A-CFDFB45F7699}"/>
    <hyperlink ref="N442" r:id="rId764" xr:uid="{40ACBE06-D8C4-41FF-8271-C5E5D227CBD3}"/>
    <hyperlink ref="M443" r:id="rId765" location="/mode=instrument&amp;secid=MPWR-RM&amp;boardgroupid=1258&amp;mode_type=history&amp;date_from=2025-07-28" xr:uid="{903A99A2-5625-4F6E-BD1B-ED88A4B440DD}"/>
    <hyperlink ref="N443" r:id="rId766" xr:uid="{BF8925EF-D0FE-4BEA-BC3A-D5DF35BB64FF}"/>
    <hyperlink ref="M444" r:id="rId767" location="/mode=instrument&amp;secid=MNST-RM&amp;boardgroupid=1258&amp;mode_type=history&amp;date_from=2025-07-28" xr:uid="{E093BF2A-EB85-43CA-9D69-EF203FFC01E6}"/>
    <hyperlink ref="N444" r:id="rId768" xr:uid="{84F5A78A-9EBF-4199-8A01-F85E6BB8FEE6}"/>
    <hyperlink ref="M445" r:id="rId769" location="/mode=instrument&amp;secid=MCO-RM&amp;boardgroupid=1258&amp;mode_type=history&amp;date_from=2025-07-28" xr:uid="{DA777867-E3FA-4677-ACC8-8EBD9AC13A66}"/>
    <hyperlink ref="N445" r:id="rId770" xr:uid="{2C61BDF1-3F48-427B-9ECA-F91C681D275D}"/>
    <hyperlink ref="M446" r:id="rId771" location="/mode=instrument&amp;secid=MS-RM&amp;boardgroupid=1258&amp;mode_type=history&amp;date_from=2025-07-28" xr:uid="{A65F63B0-C453-449E-BAA5-D4465AE7C9CA}"/>
    <hyperlink ref="N446" r:id="rId772" xr:uid="{25153829-66F8-4116-86D6-DAA910122D08}"/>
    <hyperlink ref="M447" r:id="rId773" location="/mode=instrument&amp;secid=MSI-RM&amp;boardgroupid=1258&amp;mode_type=history&amp;date_from=2025-07-28" xr:uid="{4C031ACD-7AC0-4260-ADDB-5E7B2FB10710}"/>
    <hyperlink ref="N447" r:id="rId774" xr:uid="{1013C4D3-759B-40E3-84DF-71DB7BF583B0}"/>
    <hyperlink ref="M449" r:id="rId775" location="/mode=instrument&amp;secid=MSCI-RM&amp;boardgroupid=1258&amp;mode_type=history&amp;date_from=2025-07-28" xr:uid="{03B89406-571C-47B6-8784-D8EF0C49063B}"/>
    <hyperlink ref="N449" r:id="rId776" xr:uid="{2EA5168C-A2AC-4E8D-8D3B-0CB15690D960}"/>
    <hyperlink ref="M450" r:id="rId777" location="/mode=instrument&amp;secid=MUR-RM&amp;boardgroupid=1258&amp;mode_type=history&amp;date_from=2025-07-28" xr:uid="{03B0C8D0-6FC9-4D5A-92C8-9920DCACBD49}"/>
    <hyperlink ref="N450" r:id="rId778" xr:uid="{8FC5DC31-1A6F-4061-A1FE-930F473C0013}"/>
    <hyperlink ref="M451" r:id="rId779" location="/mode=instrument&amp;secid=NDAQ-RM&amp;boardgroupid=1258&amp;mode_type=history&amp;date_from=2025-07-28" xr:uid="{308D12CC-F0B1-4F90-A200-545F84E22A6D}"/>
    <hyperlink ref="N451" r:id="rId780" xr:uid="{0E08469F-CC98-46DD-9573-B5F9E1743614}"/>
    <hyperlink ref="M452" r:id="rId781" location="/mode=instrument&amp;secid=NAVI-RM&amp;boardgroupid=1258&amp;mode_type=history&amp;date_from=2025-07-28" xr:uid="{BD222980-A9B1-46B5-B5C0-3DEC9B8A97FC}"/>
    <hyperlink ref="N452" r:id="rId782" xr:uid="{FE6906F9-1874-4FB1-9F75-00DBA0B80730}"/>
    <hyperlink ref="M453" r:id="rId783" location="/mode=instrument&amp;secid=NCR-RM&amp;boardgroupid=1258&amp;mode_type=history&amp;date_from=2025-07-28" xr:uid="{2F8C01B5-0FD2-40C9-9507-D831C04AACF6}"/>
    <hyperlink ref="N453" r:id="rId784" xr:uid="{13A0A4AE-147B-4F61-B3E2-07BEBA38620F}"/>
    <hyperlink ref="M454" r:id="rId785" location="/mode=instrument&amp;secid=NTAP-RM&amp;boardgroupid=1258&amp;mode_type=history&amp;date_from=2025-07-28" xr:uid="{DEFBEE64-28CF-4958-A872-0673BE9CF39C}"/>
    <hyperlink ref="N454" r:id="rId786" xr:uid="{57CFE124-F3F4-4487-9247-469518FE174C}"/>
    <hyperlink ref="M455" r:id="rId787" location="/mode=instrument&amp;secid=NFLX-RM&amp;boardgroupid=1258&amp;mode_type=history&amp;date_from=2025-04-28" xr:uid="{A869DAAA-B298-4A72-A7A6-E5720E346CAE}"/>
    <hyperlink ref="N455" r:id="rId788" xr:uid="{80C0DC89-1B77-4E1C-A959-B78863006592}"/>
    <hyperlink ref="M458" r:id="rId789" location="/mode=instrument&amp;secid=NWL-RM&amp;boardgroupid=50&amp;mode_type=history&amp;date_from=2025-07-28 " xr:uid="{1E3E28E7-FCB4-49B3-8927-C42077897A3C}"/>
    <hyperlink ref="N458" r:id="rId790" xr:uid="{00AFD196-7C20-4F5D-ABFE-B4359C2BD41B}"/>
    <hyperlink ref="M459" r:id="rId791" location="/mode=instrument&amp;secid=NEM-RM&amp;boardgroupid=1258&amp;mode_type=history&amp;date_from=2025-04-28" xr:uid="{B2A2A019-E85C-433A-A721-FF6A0F327AD3}"/>
    <hyperlink ref="N459" r:id="rId792" xr:uid="{19EC5B00-91C6-4CD5-AB6B-DDF4204961C0}"/>
    <hyperlink ref="M460" r:id="rId793" location="/mode=instrument&amp;secid=NWS-RM&amp;boardgroupid=50&amp;mode_type=history&amp;date_from=2025-07-28" xr:uid="{9DC8BCB2-91AA-4AD8-8139-A525D763212E}"/>
    <hyperlink ref="N460" r:id="rId794" xr:uid="{A18251E4-4E55-49DD-9C33-7511B837DEA2}"/>
    <hyperlink ref="M461" r:id="rId795" location="/mode=instrument&amp;secid=NEE-RM&amp;boardgroupid=1258&amp;mode_type=history&amp;date_from=2025-04-28" xr:uid="{29AA29EC-C01E-4D0F-B5EF-C3CA7EE23730}"/>
    <hyperlink ref="N461" r:id="rId796" xr:uid="{A2A91B28-8FD4-4E87-B825-0095ED64E2AA}"/>
    <hyperlink ref="M462" r:id="rId797" location="/mode=instrument&amp;secid=NKE-RM&amp;boardgroupid=1258&amp;mode_type=history&amp;date_from=2025-04-28" xr:uid="{2C001F7A-2A3A-4B66-93A5-A9613E9CB3A3}"/>
    <hyperlink ref="N462" r:id="rId798" xr:uid="{E2C21BAB-F526-4BDC-8001-4B709A339EDF}"/>
    <hyperlink ref="M463" r:id="rId799" location="/mode=instrument&amp;secid=NI-RM&amp;boardgroupid=50&amp;mode_type=history&amp;date_from=2025-07-28" xr:uid="{52A836A4-F9D0-4111-AFA1-EE658B6CE904}"/>
    <hyperlink ref="N463" r:id="rId800" xr:uid="{5BFB1188-8644-45C1-A1DB-98267177D314}"/>
    <hyperlink ref="M465" r:id="rId801" location="/mode=instrument&amp;secid=JWN-RM&amp;boardgroupid=50&amp;mode_type=history&amp;date_from=2025-07-28" xr:uid="{4D82C59C-2D8C-47F8-8E36-D4524E7CE228}"/>
    <hyperlink ref="N465" r:id="rId802" xr:uid="{71638A61-1499-4B08-BDD9-CD79C5674357}"/>
    <hyperlink ref="M466" r:id="rId803" location="/mode=instrument&amp;secid=NSC-RM&amp;boardgroupid=50&amp;mode_type=history&amp;date_from=2025-07-28" xr:uid="{C36E7748-DB11-46C2-A19D-A90308D68908}"/>
    <hyperlink ref="N466" r:id="rId804" xr:uid="{9F6E5CAB-4F1F-4AEA-B001-340D62600927}"/>
    <hyperlink ref="M467" r:id="rId805" location="/mode=instrument&amp;secid=NTRS-RM&amp;boardgroupid=50&amp;mode_type=history&amp;date_from=2025-07-28" xr:uid="{B88F2C6C-766B-4550-9508-E5DBAE830E2D}"/>
    <hyperlink ref="N467" r:id="rId806" xr:uid="{B76BB564-FF88-4338-8C36-D4EF969E2E54}"/>
    <hyperlink ref="M468" r:id="rId807" location="/mode=instrument&amp;secid=NOV-RM&amp;boardgroupid=50&amp;mode_type=history&amp;date_from=2025-07-28" xr:uid="{34C7BDE3-30E3-4A7E-BE5F-8108D63F4900}"/>
    <hyperlink ref="N468" r:id="rId808" xr:uid="{64A60107-201A-4998-8158-92C09A20E68D}"/>
    <hyperlink ref="M469" r:id="rId809" location="/mode=instrument&amp;secid=NRG-RM&amp;boardgroupid=1258&amp;mode_type=history&amp;date_from=2025-07-28" xr:uid="{705C9433-34DE-4DF9-948F-DD030CB1FD21}"/>
    <hyperlink ref="N469" r:id="rId810" xr:uid="{7C43163F-83C2-424F-9FF5-5A286C0F1CBB}"/>
    <hyperlink ref="M471" r:id="rId811" location="/mode=instrument&amp;secid=NUE-RM&amp;boardgroupid=50&amp;mode_type=history&amp;date_from=2025-07-28" xr:uid="{FDB6A293-B961-468D-905E-8048FEEC4D0C}"/>
    <hyperlink ref="N471" r:id="rId812" xr:uid="{39DC7738-598D-44FF-AD0A-A24841671683}"/>
    <hyperlink ref="M472" r:id="rId813" location="/mode=instrument&amp;secid=NTNX-RM&amp;boardgroupid=1258&amp;mode_type=history&amp;date_from=2025-04-28" xr:uid="{E732424A-948E-4F46-AA1D-09DE959B0BA1}"/>
    <hyperlink ref="N472" r:id="rId814" xr:uid="{F062EB67-6938-4368-B424-49BB5E9C2B6E}"/>
    <hyperlink ref="M473" r:id="rId815" location="/mode=instrument&amp;secid=NVDA-RM&amp;boardgroupid=1258&amp;mode_type=history&amp;date_from=2025-04-28" xr:uid="{926834BB-A739-4C0F-BAA8-A748CE445223}"/>
    <hyperlink ref="N473" r:id="rId816" xr:uid="{1155EAF9-CFD1-44A7-90F5-FB80359FF1DD}"/>
    <hyperlink ref="M474" r:id="rId817" location="/mode=instrument&amp;secid=NVR-RM&amp;boardgroupid=50&amp;mode_type=history&amp;date_from=2025-07-28" xr:uid="{0E2F3ED3-A154-42AE-82C8-886FBFDDF087}"/>
    <hyperlink ref="N474" r:id="rId818" xr:uid="{12420CC6-2391-49B6-BC75-ED9548DACD6E}"/>
    <hyperlink ref="M475" r:id="rId819" location="/mode=instrument&amp;secid=OXY-RM&amp;boardgroupid=1258&amp;mode_type=history&amp;date_from=2025-04-28" xr:uid="{96E47616-4172-4ABE-A568-9AA398334DC4}"/>
    <hyperlink ref="N475" r:id="rId820" xr:uid="{619952E7-69A3-4A86-90AB-F9EA3394A62F}"/>
    <hyperlink ref="M476" r:id="rId821" location="/mode=instrument&amp;secid=OGE-RM&amp;boardgroupid=50&amp;mode_type=history&amp;date_from=2025-07-28" xr:uid="{A5660A07-EFC9-4B86-BA55-8A394C974C1F}"/>
    <hyperlink ref="N476" r:id="rId822" xr:uid="{254C6072-B9B6-4011-8707-8AA1000207A6}"/>
    <hyperlink ref="M477" r:id="rId823" location="/mode=instrument&amp;secid=OI-RM&amp;boardgroupid=1258&amp;mode_type=history&amp;date_from=2025-07-28" xr:uid="{218250CF-2423-4076-A806-55BCB442C8F7}"/>
    <hyperlink ref="N477" r:id="rId824" xr:uid="{9EDC2816-3A63-4F58-95C2-E57F61C346EA}"/>
    <hyperlink ref="M479" r:id="rId825" location="/mode=instrument&amp;secid=OKTA-RM&amp;boardgroupid=50&amp;mode_type=history&amp;date_from=2025-07-28" xr:uid="{11E880B5-B70B-4225-AE01-58B60A3B457A}"/>
    <hyperlink ref="N479" r:id="rId826" xr:uid="{0AEFECFC-D163-4835-A795-6C04BD4FF850}"/>
    <hyperlink ref="M480" r:id="rId827" location="/mode=instrument&amp;secid=ODFL-RM&amp;boardgroupid=50&amp;mode_type=history&amp;date_from=2025-07-28" xr:uid="{6140A884-D83C-4FF8-9FB6-A1063DC996AF}"/>
    <hyperlink ref="N480" r:id="rId828" xr:uid="{FEC7A541-6446-454F-B2C9-BBB66A77A945}"/>
    <hyperlink ref="M482" r:id="rId829" location="/mode=instrument&amp;secid=OMC-RM&amp;boardgroupid=50&amp;mode_type=history&amp;date_from=2025-07-28" xr:uid="{9643AF0A-5BF0-4EEE-A4A6-8CE2F849EDAB}"/>
    <hyperlink ref="N482" r:id="rId830" xr:uid="{16F4CAA7-7071-468E-A9A1-5C9D198D4421}"/>
    <hyperlink ref="M483" r:id="rId831" location="/mode=instrument&amp;secid=ON-RM&amp;boardgroupid=50&amp;mode_type=history&amp;date_from=2025-07-28" xr:uid="{A99AC048-2371-40D6-BF02-EC4CD902AD14}"/>
    <hyperlink ref="N483" r:id="rId832" xr:uid="{D7E78B9F-C9A2-435C-9D52-E4D22BD46220}"/>
    <hyperlink ref="M484" r:id="rId833" location="/mode=instrument&amp;secid=OKE-RM&amp;boardgroupid=1258&amp;mode_type=history&amp;date_from=2025-04-28" xr:uid="{E88FE70F-758B-4B75-987D-182926EF7FE1}"/>
    <hyperlink ref="N484" r:id="rId834" xr:uid="{231BEFB1-20B6-469E-BF27-A499C6BBF0FD}"/>
    <hyperlink ref="M485" r:id="rId835" location="/mode=instrument&amp;secid=ORCL-RM&amp;boardgroupid=1258&amp;mode_type=history&amp;date_from=2025-04-28" xr:uid="{D1DA2CEB-BDCA-4B63-B59A-42BB0F73512A}"/>
    <hyperlink ref="N485" r:id="rId836" xr:uid="{70A9537A-E219-4F29-8F80-060674F7E97B}"/>
    <hyperlink ref="M486" r:id="rId837" location="/mode=instrument&amp;secid=OSUR-RM&amp;boardgroupid=1258&amp;mode_type=history&amp;date_from=2025-07-28" xr:uid="{374F7405-B2FF-43F5-B819-8B8224FBADEB}"/>
    <hyperlink ref="N486" r:id="rId838" xr:uid="{29CB8797-8232-480E-9B4A-20C8A2A5DAA0}"/>
    <hyperlink ref="M487" r:id="rId839" location="/mode=instrument&amp;secid=ORLY-RM&amp;boardgroupid=50&amp;mode_type=history&amp;date_from=2025-07-28" xr:uid="{DCA1A868-BE6D-4E23-A3E3-4F0969FCC234}"/>
    <hyperlink ref="N487" r:id="rId840" xr:uid="{3067170B-79ED-4751-BC09-E612F31C15E8}"/>
    <hyperlink ref="M488" r:id="rId841" location="/mode=instrument&amp;secid=OGN-RM&amp;boardgroupid=1258&amp;mode_type=history&amp;date_from=2025-07-28" xr:uid="{B8E13285-B999-4F09-A73E-721BD4A45FA1}"/>
    <hyperlink ref="N488" r:id="rId842" xr:uid="{D53DE8E4-EFB3-4EA8-98E8-0E0385E27460}"/>
    <hyperlink ref="M489" r:id="rId843" location="/mode=instrument&amp;secid=OTIS-RM&amp;boardgroupid=50&amp;mode_type=history&amp;date_from=2025-07-28" xr:uid="{4BAC8610-256C-41B7-A84C-4E5BD0C90CB3}"/>
    <hyperlink ref="N489" r:id="rId844" xr:uid="{F72DCD45-DAA0-42BE-B0CF-ADD1EF5E49A9}"/>
    <hyperlink ref="M490" r:id="rId845" location="/mode=instrument&amp;secid=OVV-RM&amp;boardgroupid=50&amp;mode_type=history&amp;date_from=2025-07-28" xr:uid="{B21C9CD1-D610-45A6-BEFA-3E21C563EE53}"/>
    <hyperlink ref="N490" r:id="rId846" xr:uid="{89BCC026-7B62-4E4A-A22B-CDE22F0FC3D7}"/>
    <hyperlink ref="M491" r:id="rId847" location="/mode=instrument&amp;secid=PCAR-RM&amp;boardgroupid=50&amp;mode_type=history&amp;date_from=2025-07-28" xr:uid="{2F240AB2-211E-48BF-A5EB-A8ACC5D28F1E}"/>
    <hyperlink ref="N491" r:id="rId848" xr:uid="{E878A91C-2416-4F76-A49A-5F31CE0B5FE1}"/>
    <hyperlink ref="M492" r:id="rId849" location="/mode=instrument&amp;secid=PKG-RM&amp;boardgroupid=50&amp;mode_type=history&amp;date_from=2025-07-28" xr:uid="{8F1C87B5-78BB-4426-BF49-0D02F596BD5B}"/>
    <hyperlink ref="N492" r:id="rId850" xr:uid="{8D81F28D-131B-4745-BA61-60A43F08D9F0}"/>
    <hyperlink ref="M493" r:id="rId851" location="/mode=instrument&amp;secid=PD-RM&amp;boardgroupid=50&amp;mode_type=history&amp;date_from=2025-07-28" xr:uid="{945CD74F-F604-4C6A-B49C-76CB473EA6CD}"/>
    <hyperlink ref="N493" r:id="rId852" xr:uid="{D2FE0D2D-9DBD-4A55-8249-D37EF331EBF8}"/>
    <hyperlink ref="M494" r:id="rId853" location="/mode=instrument&amp;secid=PANW-RM&amp;boardgroupid=50&amp;mode_type=history&amp;date_from=2025-07-28" xr:uid="{9DF2B80E-A93F-44A3-B583-5ACA95B51F93}"/>
    <hyperlink ref="N494" r:id="rId854" xr:uid="{CE78DB33-77CF-47A3-B709-630F788A7886}"/>
    <hyperlink ref="M496" r:id="rId855" location="/mode=instrument&amp;secid=PAYX-RM&amp;boardgroupid=50&amp;mode_type=history&amp;date_from=2025-07-28" xr:uid="{199D9B72-5398-4D5E-B50A-1C1D49A2EB01}"/>
    <hyperlink ref="N496" r:id="rId856" xr:uid="{4D6FCA32-B4EC-4732-9A34-DE1416CCFB39}"/>
    <hyperlink ref="M497" r:id="rId857" location="/mode=instrument&amp;secid=PAYX-RM&amp;boardgroupid=1258&amp;mode_type=history&amp;date_from=2025-07-28" xr:uid="{CFB77089-D2CC-4962-9BFE-E45F69DDA6BA}"/>
    <hyperlink ref="N497" r:id="rId858" xr:uid="{F51D9F91-8534-4A1A-9A89-3F30FECF3FE1}"/>
    <hyperlink ref="M498" r:id="rId859" location="/mode=instrument&amp;secid=PAYC-RM&amp;boardgroupid=1258&amp;mode_type=history&amp;date_from=2025-07-28" xr:uid="{2A56A5EF-5E56-4361-8E94-63765BA8901D}"/>
    <hyperlink ref="N498" r:id="rId860" xr:uid="{CD9B1CDB-6301-4AFB-BB31-116DD8EC98C3}"/>
    <hyperlink ref="M499" r:id="rId861" location="/mode=instrument&amp;secid=PYPL-RM&amp;boardgroupid=1258&amp;mode_type=history&amp;date_from=2025-04-28" xr:uid="{19F14A09-B7FE-498B-A80A-86A368A8A68C}"/>
    <hyperlink ref="N499" r:id="rId862" xr:uid="{BC46F61E-626E-44D4-98FF-EF608DA6120E}"/>
    <hyperlink ref="M500" r:id="rId863" location="/mode=instrument&amp;secid=PBF-RM&amp;boardgroupid=1258&amp;mode_type=history&amp;date_from=2025-07-28" xr:uid="{90D1ABF7-B8B2-4333-94AE-DA0F00633128}"/>
    <hyperlink ref="N500" r:id="rId864" xr:uid="{6C01B620-278D-4902-8C0B-8D3430FFA780}"/>
    <hyperlink ref="M501" r:id="rId865" location="/mode=instrument&amp;secid=PTON-RM&amp;boardgroupid=1258&amp;mode_type=history&amp;date_from=2025-07-28" xr:uid="{82E6DD0F-317C-403D-9AA3-0A256BEA6236}"/>
    <hyperlink ref="N501" r:id="rId866" xr:uid="{AC53A0CD-2B86-466C-B0B5-1CDF5A9A6BBE}"/>
    <hyperlink ref="M502" r:id="rId867" location="/mode=instrument&amp;secid=PENN-RM&amp;boardgroupid=1258&amp;mode_type=history&amp;date_from=2025-07-28" xr:uid="{755A3615-2728-4C30-A656-23B79ED82FD6}"/>
    <hyperlink ref="N502" r:id="rId868" xr:uid="{3F231DD0-D167-4B1B-99F1-B052496E894B}"/>
    <hyperlink ref="M503" r:id="rId869" location="/mode=instrument&amp;secid=PBCT-RM&amp;boardgroupid=1258&amp;mode_type=history&amp;date_from=2025-07-28" xr:uid="{1EB00D56-69DF-407E-A5C8-F5ABE55EB181}"/>
    <hyperlink ref="N503" r:id="rId870" xr:uid="{269C4DF3-F304-41A0-9DDF-10C968FF3CB3}"/>
    <hyperlink ref="M504" r:id="rId871" location="/mode=instrument&amp;secid=PEP-RM&amp;boardgroupid=1258&amp;mode_type=history&amp;date_from=2025-04-28" xr:uid="{68D52184-A78B-4F5D-8E89-338DB2153807}"/>
    <hyperlink ref="N504" r:id="rId872" xr:uid="{F87AA651-184C-4365-AF5B-D9EBE18B05F7}"/>
    <hyperlink ref="M505" r:id="rId873" location="/mode=instrument&amp;secid=PFGC-RM&amp;boardgroupid=1258&amp;mode_type=history&amp;date_from=2025-07-28" xr:uid="{4F3522DF-35AD-486A-BEAE-EA2FD3A4D738}"/>
    <hyperlink ref="N505" r:id="rId874" xr:uid="{0AB06DDE-9EBC-48A2-B2BE-5012E782E7D2}"/>
    <hyperlink ref="M506" r:id="rId875" location="/mode=instrument&amp;secid=PFE-RM&amp;boardgroupid=1258&amp;mode_type=history&amp;date_from=2025-04-28" xr:uid="{A69A329E-96F7-427D-88C6-AF5609316CED}"/>
    <hyperlink ref="N506" r:id="rId876" xr:uid="{7A6D5F3F-EE6A-40E6-9184-A1916ED32993}"/>
    <hyperlink ref="M507" r:id="rId877" location="/mode=instrument&amp;secid=PCG-RM&amp;boardgroupid=1258&amp;mode_type=history&amp;date_from=2025-07-28" xr:uid="{8BF9B751-5E6D-45F8-8380-6B601EF38935}"/>
    <hyperlink ref="N507" r:id="rId878" xr:uid="{7965A592-415D-44EE-B7A8-59B8E48FB890}"/>
    <hyperlink ref="M508" r:id="rId879" location="/mode=instrument&amp;secid=PM-RM&amp;boardgroupid=1258&amp;mode_type=history&amp;date_from=2025-05-01" xr:uid="{1CD07F2E-F615-4D70-BEA4-94186724ADFD}"/>
    <hyperlink ref="N508" r:id="rId880" xr:uid="{C175683A-743E-4C57-B816-F80F9A04CD9C}"/>
    <hyperlink ref="M509" r:id="rId881" location="/mode=instrument&amp;secid=PSX-RM&amp;boardgroupid=1258&amp;mode_type=history&amp;date_from=2025-04-28" xr:uid="{9A9DAF74-C8D2-4CCC-9288-87D315794E64}"/>
    <hyperlink ref="N509" r:id="rId882" xr:uid="{45D10147-0C8E-4545-BE8E-79C3F0971AE8}"/>
    <hyperlink ref="M510" r:id="rId883" location="/mode=instrument&amp;secid=PINS-RM&amp;boardgroupid=1258&amp;mode_type=history&amp;date_from=2025-04-28" xr:uid="{69AEA157-0F4A-4531-A604-C4D42FA8822D}"/>
    <hyperlink ref="N510" r:id="rId884" xr:uid="{E241A818-853B-46B0-A13A-12DA3C8097B2}"/>
    <hyperlink ref="M511" r:id="rId885" location="/mode=instrument&amp;secid=PXD-RM&amp;boardgroupid=1258&amp;mode_type=history&amp;date_from=2025-07-28" xr:uid="{74126961-A73F-4BCC-A2EE-0D763F366335}"/>
    <hyperlink ref="N511" r:id="rId886" xr:uid="{F3F4D4D6-1680-4CB9-94AA-16737FB7AAAE}"/>
    <hyperlink ref="M512" r:id="rId887" location="/mode=instrument&amp;secid=PBI-RM&amp;boardgroupid=1258&amp;mode_type=history&amp;date_from=2025-07-28" xr:uid="{F485BC26-8F96-4A83-BD26-8D1CBA76D771}"/>
    <hyperlink ref="N512" r:id="rId888" xr:uid="{CF585AC2-35B4-437C-975F-A90903D0F182}"/>
    <hyperlink ref="M513" r:id="rId889" location="/mode=instrument&amp;secid=PLNT-RM&amp;boardgroupid=1258&amp;mode_type=history&amp;date_from=2025-07-28" xr:uid="{96A1335E-5897-40C2-A3F6-7E08E578E67C}"/>
    <hyperlink ref="N513" r:id="rId890" xr:uid="{A6E47FE2-251B-4DC2-84E4-905AFE69A955}"/>
    <hyperlink ref="M514" r:id="rId891" location="/mode=instrument&amp;secid=PLUG-RM&amp;boardgroupid=1258&amp;mode_type=history&amp;date_from=2025-07-28" xr:uid="{26E91658-8B6B-40DC-9886-117FC396BBF8}"/>
    <hyperlink ref="N514" r:id="rId892" xr:uid="{225A236C-98F0-49D4-ABA1-91E7347FDA4E}"/>
    <hyperlink ref="M515" r:id="rId893" location="/mode=instrument&amp;secid=PNC-RM&amp;boardgroupid=1258&amp;mode_type=history&amp;date_from=2025-07-28" xr:uid="{F90FCAC6-51AC-4970-AB65-A7ECDC36577E}"/>
    <hyperlink ref="N515" r:id="rId894" xr:uid="{934D0AFD-1596-4EB2-856A-7B96C0AB7DCC}"/>
    <hyperlink ref="M516" r:id="rId895" location="/mode=instrument&amp;secid=POOL-RM&amp;boardgroupid=1258&amp;mode_type=history&amp;date_from=2025-07-28" xr:uid="{166E8468-F6BA-4AA1-9E85-5BD40659040D}"/>
    <hyperlink ref="N516" r:id="rId896" xr:uid="{9A1EFC0C-0893-49C8-A6E6-13CDE967FF7D}"/>
    <hyperlink ref="M517" r:id="rId897" location="/mode=instrument&amp;secid=PPG-RM&amp;boardgroupid=1258&amp;mode_type=history&amp;date_from=2025-07-28" xr:uid="{76511777-4CAF-4144-B0DB-051040CDD73E}"/>
    <hyperlink ref="N517" r:id="rId898" xr:uid="{D10EDB89-BFFF-47B8-8469-37D6FB268131}"/>
    <hyperlink ref="M518" r:id="rId899" location="/mode=instrument&amp;secid=PPL-RM&amp;boardgroupid=1258&amp;mode_type=history&amp;date_from=2025-07-28" xr:uid="{4DA47980-BDED-4A8F-AFFE-0DEA5B72CD9F}"/>
    <hyperlink ref="N518" r:id="rId900" xr:uid="{77A77088-183E-4D60-B175-703D9E57BCF0}"/>
    <hyperlink ref="M519" r:id="rId901" location="/mode=instrument&amp;secid=PFG-RM&amp;boardgroupid=1258&amp;mode_type=history&amp;date_from=2025-07-28" xr:uid="{B1F871EF-BB97-41DF-BB13-8BF0A5D6C437}"/>
    <hyperlink ref="N519" r:id="rId902" xr:uid="{5E67AC83-B3D4-4C2E-9A9B-F87C8A2A0144}"/>
    <hyperlink ref="M521" r:id="rId903" location="/mode=instrument&amp;secid=PRU-RM&amp;boardgroupid=1258&amp;mode_type=history&amp;date_from=2025-07-28" xr:uid="{0DE55EE9-7FAA-44D9-B9A8-6E955EE1F345}"/>
    <hyperlink ref="N521" r:id="rId904" xr:uid="{8782F0F5-A567-4EF2-94FE-C68944F7B71C}"/>
    <hyperlink ref="M522" r:id="rId905" location="/mode=instrument&amp;secid=PTC-RM&amp;boardgroupid=1258&amp;mode_type=history&amp;date_from=2025-07-28" xr:uid="{167724A8-49EA-4B14-9F09-F07CA90F3F8D}"/>
    <hyperlink ref="N522" r:id="rId906" xr:uid="{87208CA4-7A14-4C7C-AC86-8A0EF50ACBCD}"/>
    <hyperlink ref="M523" r:id="rId907" location="/mode=instrument&amp;secid=PEG-RM&amp;boardgroupid=1258&amp;mode_type=history&amp;date_from=2025-07-28" xr:uid="{CD5C682B-9B57-4EB9-AF3D-C812E4EF4A41}"/>
    <hyperlink ref="N523" r:id="rId908" xr:uid="{09D32255-973E-4224-AE9C-1EB96B2D701F}"/>
    <hyperlink ref="M524" r:id="rId909" location="/mode=instrument&amp;secid=PHM-RM&amp;boardgroupid=1258&amp;mode_type=history&amp;date_from=2025-07-28" xr:uid="{23C1BE9C-0366-4015-B3E2-88B12ADF9CCD}"/>
    <hyperlink ref="N524" r:id="rId910" xr:uid="{40EC440E-86FD-4F8F-A0ED-1BA51EE581B6}"/>
    <hyperlink ref="M525" r:id="rId911" location="/mode=instrument&amp;secid=PSTG-RM&amp;boardgroupid=1258&amp;mode_type=history&amp;date_from=2025-07-28" xr:uid="{A83FA3D7-B4CC-4A7C-98D8-A21E9AF35D06}"/>
    <hyperlink ref="N525" r:id="rId912" xr:uid="{60B7D74E-3E53-4C77-B803-F8975ABC3047}"/>
    <hyperlink ref="M526" r:id="rId913" location="/mode=instrument&amp;secid=PVH-RM&amp;boardgroupid=1258&amp;mode_type=history&amp;date_from=2025-07-28" xr:uid="{90D11802-FC94-4BD1-B19B-22DBE55A314E}"/>
    <hyperlink ref="N526" r:id="rId914" xr:uid="{B1DE1167-03B1-4906-ADF7-51A1D54C3CE6}"/>
    <hyperlink ref="M527" r:id="rId915" location="/mode=instrument&amp;secid=QRVO-RM&amp;boardgroupid=1258&amp;mode_type=history&amp;date_from=2025-07-28" xr:uid="{87B8EED5-3D53-4AC1-BB0C-9B214DAE9C2E}"/>
    <hyperlink ref="N527" r:id="rId916" xr:uid="{F901F96E-3DF5-4161-944B-BA83BCD0A88B}"/>
    <hyperlink ref="M528" r:id="rId917" location="/mode=instrument&amp;secid=QCOM-RM&amp;boardgroupid=1258&amp;mode_type=history&amp;date_from=2025-04-28" xr:uid="{9FBA428B-575D-4B3F-834D-A42130874660}"/>
    <hyperlink ref="N528" r:id="rId918" xr:uid="{1DF9945E-1CF6-4E45-97B6-52D46310A0A3}"/>
    <hyperlink ref="M529" r:id="rId919" location="/mode=instrument&amp;secid=XM-RM&amp;boardgroupid=1258&amp;mode_type=history&amp;date_from=2025-07-28" xr:uid="{349B9227-0F73-44FB-8447-702FDBCB5444}"/>
    <hyperlink ref="N529" r:id="rId920" xr:uid="{431D79A9-314A-460A-98FA-251BB5B09732}"/>
    <hyperlink ref="M530" r:id="rId921" location="/mode=instrument&amp;secid=PWR-RM&amp;boardgroupid=1258&amp;mode_type=history&amp;date_from=2025-07-28" xr:uid="{10EAA975-047F-40D7-B398-2C26AAEEB48C}"/>
    <hyperlink ref="N530" r:id="rId922" xr:uid="{6CE8AAFC-B523-4A80-B321-C176EEE23520}"/>
    <hyperlink ref="M531" r:id="rId923" location="/mode=instrument&amp;secid=QS-RM&amp;boardgroupid=1258&amp;mode_type=history&amp;date_from=2025-07-28" xr:uid="{DAD97AEB-F057-4F75-A82A-CD664024260A}"/>
    <hyperlink ref="N531" r:id="rId924" xr:uid="{41EC6E8C-4E3C-42FE-BC2A-E86E47154543}"/>
    <hyperlink ref="M532" r:id="rId925" location="/mode=instrument&amp;secid=DGX-RM&amp;boardgroupid=1258&amp;mode_type=history&amp;date_from=2025-07-28" xr:uid="{01773AA2-3E24-40E7-B31D-1FE2176D63F0}"/>
    <hyperlink ref="N532" r:id="rId926" xr:uid="{DB6A4EC9-4CFB-4B42-8108-D478481BCD4D}"/>
    <hyperlink ref="M533" r:id="rId927" location="/mode=instrument&amp;secid=QDEL-RM&amp;boardgroupid=1258&amp;mode_type=history&amp;date_from=2025-07-28" xr:uid="{1DBCEA28-84F7-4FFA-86F2-27EAD5C1F58D}"/>
    <hyperlink ref="N533" r:id="rId928" xr:uid="{7B5A05E2-29B0-40C7-BDEE-D69BD8096A01}"/>
    <hyperlink ref="M535" r:id="rId929" location="/mode=instrument&amp;secid=QRTEA-RM&amp;boardgroupid=1258&amp;mode_type=history&amp;date_from=2025-07-28" xr:uid="{7E2B7011-38EC-420C-9BFE-88EAFD579E17}"/>
    <hyperlink ref="N535" r:id="rId930" xr:uid="{CF8B0D06-0271-4688-B80D-CAA95101685F}"/>
    <hyperlink ref="M536" r:id="rId931" location="/mode=instrument&amp;secid=RL-RM&amp;boardgroupid=1258&amp;mode_type=history&amp;date_from=2025-07-28" xr:uid="{F738D936-2FFF-4AA6-A132-F2F217FF4F0B}"/>
    <hyperlink ref="N536" r:id="rId932" xr:uid="{5DF79B65-E718-42DE-89B9-490261CBF709}"/>
    <hyperlink ref="M537" r:id="rId933" location="/mode=instrument&amp;secid=RRC-RM&amp;boardgroupid=1258&amp;mode_type=history&amp;date_from=2025-07-28" xr:uid="{7F2229E3-2A78-4E9E-93CE-17FDA6B9D651}"/>
    <hyperlink ref="N537" r:id="rId934" xr:uid="{A268C331-732F-495E-A44E-85DFFBE50159}"/>
    <hyperlink ref="M538" r:id="rId935" location="/mode=instrument&amp;secid=RJF-RM&amp;boardgroupid=1258&amp;mode_type=history&amp;date_from=2025-07-28" xr:uid="{6D5A5C3A-DD76-44D8-884C-71993C7086DE}"/>
    <hyperlink ref="N538" r:id="rId936" xr:uid="{0C9055CE-EB20-4FCE-A8E8-F870A2E36D2C}"/>
    <hyperlink ref="M541" r:id="rId937" location="/mode=instrument&amp;secid=REGN-RM&amp;boardgroupid=1258&amp;mode_type=history&amp;date_from=2025-07-28" xr:uid="{B96F08B8-4168-4283-8504-AA73D88DA62C}"/>
    <hyperlink ref="N541" r:id="rId938" xr:uid="{D4322FF6-368E-45F3-BF2A-D7CC529114C0}"/>
    <hyperlink ref="M542" r:id="rId939" location="/mode=instrument&amp;secid=RF-RM&amp;boardgroupid=1258&amp;mode_type=history&amp;date_from=2025-07-28" xr:uid="{A39EFB02-A358-4FE7-9894-CA004232EF14}"/>
    <hyperlink ref="N542" r:id="rId940" xr:uid="{603FB865-9190-42A3-B093-37F6C0FB3915}"/>
    <hyperlink ref="M543" r:id="rId941" location="/mode=instrument&amp;secid=REGI-RM&amp;boardgroupid=1258&amp;mode_type=history&amp;date_from=2025-07-28" xr:uid="{C65518E5-97BD-49E1-B399-553A8B7C6A23}"/>
    <hyperlink ref="N543" r:id="rId942" xr:uid="{80EF7029-F36D-4CE3-86BD-7EB259B99D1A}"/>
    <hyperlink ref="M544" r:id="rId943" location="/mode=instrument&amp;secid=RSG-RM&amp;boardgroupid=1258&amp;mode_type=history&amp;date_from=2025-07-28" xr:uid="{C28C3BE3-C68F-49D1-849D-AA64ADBE0BF5}"/>
    <hyperlink ref="N544" r:id="rId944" xr:uid="{90C152FD-C4A0-40D7-9DA9-3A3A72ABD017}"/>
    <hyperlink ref="M545" r:id="rId945" location="/mode=instrument&amp;secid=RMD-RM&amp;boardgroupid=1258&amp;mode_type=history&amp;date_from=2025-07-28" xr:uid="{2479B603-2C63-44E7-B23A-8E4CA6A9630A}"/>
    <hyperlink ref="N545" r:id="rId946" xr:uid="{00E4B1E8-F65C-4EC4-A542-4621DD2E840A}"/>
    <hyperlink ref="M546" r:id="rId947" location="/mode=instrument&amp;secid=RVLV-RM&amp;boardgroupid=1258&amp;mode_type=history&amp;date_from=2025-07-28" xr:uid="{CD1BCA72-D07F-4F5E-ADD2-97896AFA6E93}"/>
    <hyperlink ref="N546" r:id="rId948" xr:uid="{2AF76D46-6E06-401D-8609-225720B33E5F}"/>
    <hyperlink ref="M547" r:id="rId949" location="/mode=instrument&amp;secid=RVTY-RM&amp;boardgroupid=1258&amp;mode_type=history&amp;date_from=2025-07-28" xr:uid="{8939402A-1A48-454C-A6B9-041215CAEA55}"/>
    <hyperlink ref="N547" r:id="rId950" xr:uid="{D822F8D9-480E-47B1-8DEE-7A0E4D308AC3}"/>
    <hyperlink ref="M551" r:id="rId951" location="/mode=instrument&amp;secid=RHI-RM&amp;boardgroupid=50&amp;mode_type=history&amp;date_from=2025-07-28" xr:uid="{1F249A62-ADA9-4B90-9562-030C7751684F}"/>
    <hyperlink ref="N551" r:id="rId952" xr:uid="{F2BA6A70-4686-480D-AEE3-F510EC5F1C78}"/>
    <hyperlink ref="M555" r:id="rId953" location="/mode=instrument&amp;secid=ROK-RM&amp;boardgroupid=50&amp;mode_type=history&amp;date_from=2025-07-28" xr:uid="{BFBF525A-13D9-4C9E-84BF-A155374491CD}"/>
    <hyperlink ref="N555" r:id="rId954" xr:uid="{DCC2595A-9004-45AB-A6B4-D3D09F116E3C}"/>
    <hyperlink ref="M556" r:id="rId955" location="/mode=instrument&amp;secid=ROKU-RM&amp;boardgroupid=1258&amp;mode_type=history&amp;date_from=2025-04-28" xr:uid="{3578A6FA-451A-46FA-A0D2-31648E74D686}"/>
    <hyperlink ref="N556" r:id="rId956" xr:uid="{ECD4D441-3929-497A-B07B-6C09963A9679}"/>
    <hyperlink ref="M557" r:id="rId957" location="/mode=instrument&amp;secid=ROL-RM&amp;boardgroupid=50&amp;mode_type=history&amp;date_from=2025-07-28" xr:uid="{2AEF9691-E205-4A62-AF61-977ED0BD466F}"/>
    <hyperlink ref="N557" r:id="rId958" xr:uid="{41E0ED9D-88A2-4FDA-A999-74015154498F}"/>
    <hyperlink ref="M558" r:id="rId959" location="/mode=instrument&amp;secid=ROP-RM&amp;boardgroupid=50&amp;mode_type=history&amp;date_from=2025-07-28" xr:uid="{CE803886-C5D3-4CA3-BA8F-4934F770488B}"/>
    <hyperlink ref="N558" r:id="rId960" xr:uid="{E19B19BD-1679-4AEE-82CB-67359A01B302}"/>
    <hyperlink ref="M559" r:id="rId961" location="/mode=instrument&amp;secid=ROST-RM&amp;boardgroupid=50&amp;mode_type=history&amp;date_from=2025-07-28" xr:uid="{C342FBBF-36CC-4387-B660-0DD28909C9E2}"/>
    <hyperlink ref="N559" r:id="rId962" xr:uid="{ED7E8C63-E2A9-45D4-ABD2-1B497166CE06}"/>
    <hyperlink ref="M560" r:id="rId963" location="/mode=instrument&amp;secid=RTX-RM&amp;boardgroupid=1258&amp;mode_type=history&amp;date_from=2025-04-28" xr:uid="{14575F44-217B-403D-9DEB-8EC42A73BD86}"/>
    <hyperlink ref="N560" r:id="rId964" xr:uid="{FA2887CA-99E8-4E0D-8CF3-4E0CD49F91E1}"/>
    <hyperlink ref="M561" r:id="rId965" location="/mode=instrument&amp;secid=SPGI-RM&amp;boardgroupid=1258&amp;mode_type=history&amp;date_from=2025-04-28" xr:uid="{C2F7FB47-B497-4FDF-A714-6F2DB2770ECF}"/>
    <hyperlink ref="N561" r:id="rId966" xr:uid="{5FB4B7B7-6871-4703-A2BC-19063E8182B1}"/>
    <hyperlink ref="M562" r:id="rId967" location="/mode=instrument&amp;secid=CRM-RM&amp;boardgroupid=1258&amp;mode_type=history&amp;date_from=2025-04-28" xr:uid="{2D3B884A-F3BE-4ED1-80AA-5F4038C6038C}"/>
    <hyperlink ref="N562" r:id="rId968" xr:uid="{0276E670-B48E-4566-9EB5-2000C4FE934E}"/>
    <hyperlink ref="M563" r:id="rId969" location="/mode=instrument&amp;secid=SRPT-RM&amp;boardgroupid=1258&amp;mode_type=history&amp;date_from=2025-04-28" xr:uid="{5200BA2C-A765-4979-92E1-6FA64FAD0CAA}"/>
    <hyperlink ref="N563" r:id="rId970" xr:uid="{287A2C88-807D-4750-88E3-AFC46A25E99C}"/>
    <hyperlink ref="M565" r:id="rId971" location="/mode=instrument&amp;secid=SEE-RM&amp;boardgroupid=50&amp;mode_type=history&amp;date_from=2025-07-28" xr:uid="{755F1258-E6C6-41E2-8153-D7A61375605D}"/>
    <hyperlink ref="N565" r:id="rId972" xr:uid="{D1C6083F-1ABE-4403-BDAF-083C38FBCE36}"/>
    <hyperlink ref="M566" r:id="rId973" location="/mode=instrument&amp;secid=SRE-RM&amp;boardgroupid=50&amp;mode_type=history&amp;date_from=2025-07-28" xr:uid="{3667F514-5D98-45A0-B4B2-5F47DE6CE818}"/>
    <hyperlink ref="N566" r:id="rId974" xr:uid="{AE987959-B491-4566-9257-299BE84B8F54}"/>
    <hyperlink ref="M567" r:id="rId975" location="/mode=instrument&amp;secid=S-RM&amp;boardgroupid=50&amp;mode_type=history&amp;date_from=2025-07-28" xr:uid="{46672A1B-9EF2-4120-8E29-5675475400D9}"/>
    <hyperlink ref="N567" r:id="rId976" xr:uid="{EF499DF0-AC86-4B37-9924-97B68E435F44}"/>
    <hyperlink ref="M568" r:id="rId977" location="/mode=instrument&amp;secid=NOW-RM&amp;boardgroupid=50&amp;mode_type=history&amp;date_from=2025-07-28" xr:uid="{F3110E2F-BC14-4E83-814F-DEFF0F7B58B1}"/>
    <hyperlink ref="N568" r:id="rId978" xr:uid="{A1B2F590-57BB-42C0-8CB7-16912D7A38E5}"/>
    <hyperlink ref="M571" r:id="rId979" location="/mode=instrument&amp;secid=SHW-RM&amp;boardgroupid=50&amp;mode_type=history&amp;date_from=2025-07-28" xr:uid="{9D3CE4E8-422F-4C15-9DA6-32175368D8B3}"/>
    <hyperlink ref="N571" r:id="rId980" xr:uid="{84E15FB8-8617-4C6E-91D0-4A8FE5E4502B}"/>
    <hyperlink ref="M572" r:id="rId981" location="/mode=instrument&amp;secid=SHLS-RM&amp;boardgroupid=1258&amp;mode_type=history&amp;date_from=2025-07-28" xr:uid="{8FA1FB99-400E-4EDF-843E-2B96D68C9854}"/>
    <hyperlink ref="N572" r:id="rId982" xr:uid="{7BC65BD6-69E5-4AD2-9D4B-79A25EE9A623}"/>
    <hyperlink ref="M573" r:id="rId983" location="/mode=instrument&amp;secid=SI-RM&amp;boardgroupid=50&amp;mode_type=history&amp;date_from=2025-07-28" xr:uid="{48C3D516-9675-43F1-B459-39CF23330582}"/>
    <hyperlink ref="N573" r:id="rId984" xr:uid="{DF8AD40A-0445-47B7-A583-602D437BA8CF}"/>
    <hyperlink ref="M575" r:id="rId985" location="/mode=instrument&amp;secid=SKX-RM&amp;boardgroupid=50&amp;mode_type=history&amp;date_from=2025-07-28" xr:uid="{6DDBF0D3-DE84-4995-9042-BD784D170BDB}"/>
    <hyperlink ref="N575" r:id="rId986" xr:uid="{85520004-0817-4B3D-8F59-BBA31230ABF0}"/>
    <hyperlink ref="M576" r:id="rId987" location="/mode=instrument&amp;secid=SKLZ-RM&amp;boardgroupid=1258&amp;mode_type=history&amp;date_from=2025-07-28" xr:uid="{C60A077A-F0BC-4E0D-9A91-E3E9B047C148}"/>
    <hyperlink ref="N576" r:id="rId988" xr:uid="{AA3C474E-68C9-4BEC-A438-84E7A8DC278C}"/>
    <hyperlink ref="M577" r:id="rId989" location="/mode=instrument&amp;secid=SWKS-RM&amp;boardgroupid=1258&amp;mode_type=history&amp;date_from=2025-07-28" xr:uid="{D3431F08-D9F5-4534-A8B4-FB889105AB2E}"/>
    <hyperlink ref="N577" r:id="rId990" xr:uid="{0DB3FE6A-754D-4495-AAFD-D4D60475322E}"/>
    <hyperlink ref="M578" r:id="rId991" location="/mode=instrument&amp;secid=SMAR-RM&amp;boardgroupid=50&amp;mode_type=history&amp;date_from=2025-07-28" xr:uid="{95BDCD2F-FB7D-4146-A617-FEC6648093A0}"/>
    <hyperlink ref="N578" r:id="rId992" xr:uid="{BB099003-0240-4A21-B3B9-847164504622}"/>
    <hyperlink ref="M579" r:id="rId993" location="/mode=instrument&amp;secid=SNAP-RM&amp;boardgroupid=1258&amp;mode_type=history&amp;date_from=2025-07-28" xr:uid="{5309BE3F-72D4-4DCC-9A2F-1A85DA106262}"/>
    <hyperlink ref="N579" r:id="rId994" xr:uid="{4799BE5E-9CE0-4117-90DD-CAC8A415099C}"/>
    <hyperlink ref="M580" r:id="rId995" location="/mode=instrument&amp;secid=SNA-RM&amp;boardgroupid=50&amp;mode_type=history&amp;date_from=2025-07-28" xr:uid="{CA6A4EE3-DA58-4048-953A-CFA593E41BA3}"/>
    <hyperlink ref="N580" r:id="rId996" xr:uid="{C7E4A777-9E25-4B55-BB61-FA8059513151}"/>
    <hyperlink ref="M581" r:id="rId997" location="/mode=instrument&amp;secid=SEDG-RM&amp;boardgroupid=1258&amp;mode_type=history&amp;date_from=2025-07-28" xr:uid="{03A5372F-F0B1-4748-85B7-1939DAC158D1}"/>
    <hyperlink ref="N581" r:id="rId998" xr:uid="{5E2BD438-0A6A-4E86-947D-D4C91D3D67C1}"/>
    <hyperlink ref="M583" r:id="rId999" location="/mode=instrument&amp;secid=SLDB-RM&amp;boardgroupid=1258&amp;mode_type=history&amp;date_from=2025-07-28" xr:uid="{BBE72B3C-93F9-4708-B065-FD68A6A7194A}"/>
    <hyperlink ref="N583" r:id="rId1000" xr:uid="{D5661315-9618-4E6C-B0C4-965A1B76008F}"/>
    <hyperlink ref="M584" r:id="rId1001" location="/mode=instrument&amp;secid=SONO-RM&amp;boardgroupid=1258&amp;mode_type=history&amp;date_from=2025-07-28" xr:uid="{94F20953-21CE-4EE9-AAE6-A099990E1608}"/>
    <hyperlink ref="N584" r:id="rId1002" xr:uid="{2C9935BF-A7BB-4645-957B-5C6A3A6C5E60}"/>
    <hyperlink ref="M585" r:id="rId1003" location="/mode=instrument&amp;secid=SJI-RM&amp;boardgroupid=1258&amp;mode_type=history&amp;date_from=2025-07-28" xr:uid="{DE938D52-B302-4615-8574-85861D585367}"/>
    <hyperlink ref="N585" r:id="rId1004" xr:uid="{6829B946-9E10-40CF-8329-A84530DA5708}"/>
    <hyperlink ref="M586" r:id="rId1005" location="/mode=instrument&amp;secid=SCCO-RM&amp;boardgroupid=1258&amp;mode_type=history&amp;date_from=2025-07-28" xr:uid="{270516AA-A942-4C1F-B69A-A5B95F57CBE4}"/>
    <hyperlink ref="N586" r:id="rId1006" xr:uid="{78BDD1F6-20F6-465A-BAA3-E132C4345EF5}"/>
    <hyperlink ref="M587" r:id="rId1007" location="/mode=instrument&amp;secid=LUV-RM&amp;boardgroupid=1258&amp;mode_type=history&amp;date_from=2025-07-28" xr:uid="{F3DC5F0E-5B06-4EF9-9E34-C26F950EA1CC}"/>
    <hyperlink ref="N587" r:id="rId1008" xr:uid="{0EB77A62-775A-4A87-AA81-D9F5D3C8EEBE}"/>
    <hyperlink ref="M588" r:id="rId1009" location="/mode=instrument&amp;secid=SWN-RM&amp;boardgroupid=1258&amp;mode_type=history&amp;date_from=2025-07-28" xr:uid="{85683DA2-992B-4AF6-A6E5-AA82764C31D0}"/>
    <hyperlink ref="N588" r:id="rId1010" xr:uid="{F4648400-7033-43FE-A6D6-5C1CDA47C25C}"/>
    <hyperlink ref="M589" r:id="rId1011" location="/mode=instrument&amp;secid=SPR-RM&amp;boardgroupid=1258&amp;mode_type=history&amp;date_from=2025-07-28" xr:uid="{0C6BFC98-7287-4956-A7E6-EC424355092E}"/>
    <hyperlink ref="N589" r:id="rId1012" xr:uid="{AFE784F4-922B-480B-88F4-92C5327D0404}"/>
    <hyperlink ref="M590" r:id="rId1013" location="/mode=instrument&amp;secid=SAVE-RM&amp;boardgroupid=1258&amp;mode_type=history&amp;date_from=2025-07-28" xr:uid="{078198D7-E26D-424C-B328-A4E6A791BC1C}"/>
    <hyperlink ref="N590" r:id="rId1014" xr:uid="{C90F795E-DD70-4454-89DF-91E2702A8549}"/>
    <hyperlink ref="M591" r:id="rId1015" location="/mode=instrument&amp;secid=SPLK-RM&amp;boardgroupid=1258&amp;mode_type=history&amp;date_from=2025-07-28" xr:uid="{70CA69BD-9DD2-448A-B19D-97EDB276901C}"/>
    <hyperlink ref="N591" r:id="rId1016" xr:uid="{201FCC93-2061-42E6-B898-B6C0248653E7}"/>
    <hyperlink ref="M593" r:id="rId1017" location="/mode=instrument&amp;secid=SFM-RM&amp;boardgroupid=1258&amp;mode_type=history&amp;date_from=2025-07-28" xr:uid="{49544ABD-5C6A-4EA5-A2F0-3880D1C4E7F8}"/>
    <hyperlink ref="N593" r:id="rId1018" xr:uid="{338C49E7-930C-4EAB-9777-041F6ED723AF}"/>
    <hyperlink ref="M594" r:id="rId1019" location="/mode=instrument&amp;secid=SSNC-RM&amp;boardgroupid=1258&amp;mode_type=history&amp;date_from=2025-07-28" xr:uid="{8F7CA61C-8639-4DE1-9450-40141C58F9BD}"/>
    <hyperlink ref="N594" r:id="rId1020" xr:uid="{6A71FEF3-88A8-4BF7-A135-CADF20DFE927}"/>
    <hyperlink ref="M595" r:id="rId1021" location="/mode=instrument&amp;secid=SWK-RM&amp;boardgroupid=1258&amp;mode_type=history&amp;date_from=2025-07-28" xr:uid="{77642831-AFDB-4899-AC16-EB2FCE3F0769}"/>
    <hyperlink ref="N595" r:id="rId1022" xr:uid="{3E9134B2-22A4-4E6E-A3E4-3FD0C6D4E8EB}"/>
    <hyperlink ref="M596" r:id="rId1023" location="/mode=instrument&amp;secid=SBUX-RM&amp;boardgroupid=1258&amp;mode_type=history&amp;date_from=2025-04-28" xr:uid="{A5B2AF94-DD16-40CF-95C3-5BEA4EBE259C}"/>
    <hyperlink ref="N596" r:id="rId1024" xr:uid="{F603295F-BF53-4157-81B2-B5F44EFC31AF}"/>
    <hyperlink ref="M597" r:id="rId1025" location="/mode=instrument&amp;secid=STT-RM&amp;boardgroupid=1258&amp;mode_type=history&amp;date_from=2025-07-28" xr:uid="{2A4FA068-13F8-4580-A400-FE6BD7C1E94C}"/>
    <hyperlink ref="N597" r:id="rId1026" xr:uid="{4CE34D7A-7123-41C1-9756-01997327AD9D}"/>
    <hyperlink ref="M598" r:id="rId1027" location="/mode=instrument&amp;secid=STLD-RM&amp;boardgroupid=1258&amp;mode_type=history&amp;date_from=2025-07-28" xr:uid="{90E3D956-0CCF-4BB0-8231-9D44F2B28569}"/>
    <hyperlink ref="N598" r:id="rId1028" xr:uid="{03559B2E-D2FD-4A66-9C1F-7623A10B4A15}"/>
    <hyperlink ref="M599" r:id="rId1029" location="/mode=instrument&amp;secid=SFIX-RM&amp;boardgroupid=1258&amp;mode_type=history&amp;date_from=2025-07-28" xr:uid="{44A3BE90-46AD-4358-9E56-3ACB110D0FB5}"/>
    <hyperlink ref="N599" r:id="rId1030" xr:uid="{EE1C98E0-8691-4C85-937E-6A75427F4F5E}"/>
    <hyperlink ref="M601" r:id="rId1031" location="/mode=instrument&amp;secid=SYK-RM&amp;boardgroupid=1258&amp;mode_type=history&amp;date_from=2025-07-28" xr:uid="{D00A2D64-D1F1-4BCD-A78C-1493DE035EE8}"/>
    <hyperlink ref="N601" r:id="rId1032" xr:uid="{6B947BBA-F898-4F03-90C2-59FCE8992152}"/>
    <hyperlink ref="M603" r:id="rId1033" location="/mode=instrument&amp;secid=RUN-RM&amp;boardgroupid=1258&amp;mode_type=history&amp;date_from=2025-07-28" xr:uid="{BA9F6B8B-7CD4-4DAB-B4EE-2AE2FECC7AFA}"/>
    <hyperlink ref="N603" r:id="rId1034" xr:uid="{7BDEFD84-0726-4FF0-A138-CE8A93856C48}"/>
    <hyperlink ref="M604" r:id="rId1035" location="/mode=instrument&amp;secid=SIVB-RM&amp;boardgroupid=1258&amp;mode_type=history&amp;date_from=2025-07-28" xr:uid="{6861AA3C-9044-454E-B04A-589A4612DD71}"/>
    <hyperlink ref="N604" r:id="rId1036" xr:uid="{507ED210-2187-4CC5-8EA1-DEA65E63F48A}"/>
    <hyperlink ref="M605" r:id="rId1037" location="/mode=instrument&amp;secid=SWCH-RM&amp;boardgroupid=1258&amp;mode_type=history&amp;date_from=2025-07-28" xr:uid="{35D87FE6-F653-47E1-850C-BF562C19C7EF}"/>
    <hyperlink ref="N605" r:id="rId1038" xr:uid="{32FDEC80-4162-4ED4-9E2D-D49FECA6ADA2}"/>
    <hyperlink ref="M606" r:id="rId1039" location="/mode=instrument&amp;secid=SYF-RM&amp;boardgroupid=1258&amp;mode_type=history&amp;date_from=2025-07-28" xr:uid="{1D8C92F2-F980-4F1A-A600-E8B183C913A8}"/>
    <hyperlink ref="N606" r:id="rId1040" xr:uid="{FC93631E-DF6F-4D33-B2E1-7E3CFACD911E}"/>
    <hyperlink ref="M607" r:id="rId1041" location="/mode=instrument&amp;secid=SNPS-RM&amp;boardgroupid=1258&amp;mode_type=history&amp;date_from=2025-04-28" xr:uid="{5F106469-3073-4B9B-A608-7567A41A1618}"/>
    <hyperlink ref="N607" r:id="rId1042" xr:uid="{640E0239-BF22-4876-B43B-2EDBAB1F140D}"/>
    <hyperlink ref="M608" r:id="rId1043" location="/mode=instrument&amp;secid=SYY-RM&amp;boardgroupid=1258&amp;mode_type=history&amp;date_from=2025-07-28" xr:uid="{A4787233-3C0A-46E4-8398-4D5943952535}"/>
    <hyperlink ref="N608" r:id="rId1044" xr:uid="{37ACF3D2-120C-4EEA-9B30-FAE216266D2B}"/>
    <hyperlink ref="M609" r:id="rId1045" location="/mode=instrument&amp;secid=TROW-RM&amp;boardgroupid=1258&amp;mode_type=history&amp;date_from=2025-07-28" xr:uid="{CC3CBBC9-4538-4A4B-BC4D-A5811208273E}"/>
    <hyperlink ref="N609" r:id="rId1046" xr:uid="{C5885373-A3E2-4B61-A3D6-F54E7E60E3A1}"/>
    <hyperlink ref="M610" r:id="rId1047" location="/mode=instrument&amp;secid=TTWO-RM&amp;boardgroupid=1258&amp;mode_type=history&amp;date_from=2025-04-28" xr:uid="{28B6C9FD-74DC-4321-ABF8-27D723C726DF}"/>
    <hyperlink ref="N610" r:id="rId1048" xr:uid="{DB595F71-676A-4B66-BA76-5B8B8AE0E270}"/>
    <hyperlink ref="M611" r:id="rId1049" location="/mode=instrument&amp;secid=TPR-RM&amp;boardgroupid=1258&amp;mode_type=history&amp;date_from=2025-07-28" xr:uid="{32BFB142-DFEB-4EBD-9058-1BCF9ABDE921}"/>
    <hyperlink ref="N611" r:id="rId1050" xr:uid="{2D6C700B-614F-4246-8471-0F8E897B31DE}"/>
    <hyperlink ref="M612" r:id="rId1051" location="/mode=instrument&amp;secid=TGT-RM&amp;boardgroupid=1258&amp;mode_type=history&amp;date_from=2025-07-28" xr:uid="{B042BCB6-F824-4FBD-A7D8-6C336AF3524F}"/>
    <hyperlink ref="N612" r:id="rId1052" xr:uid="{A317675E-99F5-4620-B99D-4313E54F681E}"/>
    <hyperlink ref="M613" r:id="rId1053" location="/mode=instrument&amp;secid=TTCF-RM&amp;boardgroupid=1258&amp;mode_type=history&amp;date_from=2025-07-28" xr:uid="{A8A85A7A-50A4-4A66-814F-574C32836261}"/>
    <hyperlink ref="N613" r:id="rId1054" xr:uid="{FCF0A2D2-F36E-4740-96CE-111CCBEE9DC9}"/>
    <hyperlink ref="M614" r:id="rId1055" location="/mode=instrument&amp;secid=TMHC-RM&amp;boardgroupid=1258&amp;mode_type=history&amp;date_from=2025-07-28" xr:uid="{EA174C13-CE21-4F5F-B86F-D03D019313C4}"/>
    <hyperlink ref="N614" r:id="rId1056" xr:uid="{7079DE0D-F16F-4F3E-A58D-32D30585F9E0}"/>
    <hyperlink ref="M616" r:id="rId1057" location="/mode=instrument&amp;secid=TGNA-RM&amp;boardgroupid=1258&amp;mode_type=history&amp;date_from=2025-07-28" xr:uid="{06357661-966F-42C4-B296-AD643AD50498}"/>
    <hyperlink ref="N616" r:id="rId1058" xr:uid="{E3788B25-B5F2-4A2D-BA16-4FC4F01FE7A7}"/>
    <hyperlink ref="M617" r:id="rId1059" location="/mode=instrument&amp;secid=TDOC-RM&amp;boardgroupid=1258&amp;mode_type=history&amp;date_from=2025-07-28" xr:uid="{A2B2A88D-C6FF-4ED5-BDBF-AAABEB4100E3}"/>
    <hyperlink ref="N617" r:id="rId1060" xr:uid="{0CF043A5-5475-4787-9DA5-B2EFFF512FCE}"/>
    <hyperlink ref="M618" r:id="rId1061" location="/mode=instrument&amp;secid=TFX-RM&amp;boardgroupid=1258&amp;mode_type=history&amp;date_from=2025-07-28" xr:uid="{8EA80A36-589F-416C-8117-0375EC28F980}"/>
    <hyperlink ref="N618" r:id="rId1062" xr:uid="{9F9239D0-85F2-4258-9ED9-2337E1249078}"/>
    <hyperlink ref="M619" r:id="rId1063" location="/mode=instrument&amp;secid=TDS-RM&amp;boardgroupid=1258&amp;mode_type=history&amp;date_from=2025-07-28" xr:uid="{E6C16C58-FAD6-407A-ADBA-F9549D0C7EAA}"/>
    <hyperlink ref="N619" r:id="rId1064" xr:uid="{B7286E9D-73AE-41BF-8130-97011201BCED}"/>
    <hyperlink ref="M620" r:id="rId1065" location="/mode=instrument&amp;secid=TPX-RM&amp;boardgroupid=1258&amp;mode_type=history&amp;date_from=2025-07-28" xr:uid="{8F5E44ED-073B-41A2-9BB6-7D2E1728046F}"/>
    <hyperlink ref="N620" r:id="rId1066" xr:uid="{88F9C2FA-E239-418B-8621-73349DB1547C}"/>
    <hyperlink ref="M621" r:id="rId1067" location="/mode=instrument&amp;secid=TDC-RM&amp;boardgroupid=1258&amp;mode_type=history&amp;date_from=2025-07-28" xr:uid="{391386A7-BCBF-4F21-B6F3-5EF53FBD5548}"/>
    <hyperlink ref="N621" r:id="rId1068" xr:uid="{EF9C7BF6-B3BE-4F00-889D-37C49E1A716A}"/>
    <hyperlink ref="M622" r:id="rId1069" location="/mode=instrument&amp;secid=TER-RM&amp;boardgroupid=1258&amp;mode_type=history&amp;date_from=2025-07-28" xr:uid="{C4DE8111-ECF2-43B5-8709-E9332DB3146F}"/>
    <hyperlink ref="N622" r:id="rId1070" xr:uid="{6E599E11-1581-4EA3-A7AE-0D265ED014BD}"/>
    <hyperlink ref="M623" r:id="rId1071" location="/mode=instrument&amp;secid=TSLA-RM&amp;boardgroupid=1258&amp;mode_type=history&amp;date_from=2025-04-28" xr:uid="{6DE22A13-0894-4DBE-B13C-8B11B0521166}"/>
    <hyperlink ref="N623" r:id="rId1072" xr:uid="{FD2ECAD8-F51D-4E41-9A44-ADBC2DC66808}"/>
    <hyperlink ref="M624" r:id="rId1073" location="/mode=instrument&amp;secid=TXN-RM&amp;boardgroupid=1258&amp;mode_type=history&amp;date_from=2025-04-28" xr:uid="{B3C76294-87FD-4D80-8411-86EC13677513}"/>
    <hyperlink ref="N624" r:id="rId1074" xr:uid="{89199724-E614-4EE3-9414-FB188630D5B2}"/>
    <hyperlink ref="M625" r:id="rId1075" location="/mode=instrument&amp;secid=TXT-RM&amp;boardgroupid=1258&amp;mode_type=history&amp;date_from=2025-07-28" xr:uid="{AB55C1D5-C276-4A8D-A3E9-2A9B2FC20637}"/>
    <hyperlink ref="N625" r:id="rId1076" xr:uid="{CDA23288-9E84-4B1D-8876-08AB3A4F9E6C}"/>
    <hyperlink ref="M626" r:id="rId1077" location="/mode=instrument&amp;secid=AES-RM&amp;boardgroupid=1258&amp;mode_type=history&amp;date_from=2025-07-28" xr:uid="{7C535BE5-D446-4244-BF9E-8557D22EF03A}"/>
    <hyperlink ref="N626" r:id="rId1078" xr:uid="{5B2B63E3-5A7E-4223-97D6-F18973B7B22C}"/>
    <hyperlink ref="M627" r:id="rId1079" location="/mode=instrument&amp;secid=BK-RM&amp;boardgroupid=1258&amp;mode_type=history&amp;date_from=2025-07-28" xr:uid="{CCE68A5F-E6FF-4DC7-947E-C5E078BE3FDE}"/>
    <hyperlink ref="N627" r:id="rId1080" xr:uid="{99B47B74-F40D-48A9-A3BC-CE412DEA11BC}"/>
    <hyperlink ref="M629" r:id="rId1081" location="/mode=instrument&amp;secid=SCHW-RM&amp;boardgroupid=1258&amp;mode_type=history&amp;date_from=2025-07-28" xr:uid="{76729512-7781-45F2-A8C9-6106FD6E8501}"/>
    <hyperlink ref="N629" r:id="rId1082" xr:uid="{F639390D-6A4D-490B-9963-84B92E7C8464}"/>
    <hyperlink ref="M630" r:id="rId1083" location="/mode=instrument&amp;secid=CI-RM&amp;boardgroupid=1258&amp;mode_type=history&amp;date_from=2025-07-28" xr:uid="{733AB779-3640-4C09-B1C1-BF222E256780}"/>
    <hyperlink ref="N630" r:id="rId1084" xr:uid="{32D2DDD3-EA9A-429F-8154-6459A450E72D}"/>
    <hyperlink ref="M631" r:id="rId1085" location="/mode=instrument&amp;secid=COO-RM&amp;boardgroupid=1258&amp;mode_type=history&amp;date_from=2025-07-28" xr:uid="{4615D120-A6B4-43FB-8F00-E07AB1D6F4A3}"/>
    <hyperlink ref="N631" r:id="rId1086" xr:uid="{4EDCB50A-25EF-4182-9D9E-F34F2DCC11AB}"/>
    <hyperlink ref="M632" r:id="rId1087" location="/mode=instrument&amp;secid=GS-RM&amp;boardgroupid=1258&amp;mode_type=history&amp;date_from=2025-04-28" xr:uid="{C55F9DC7-B7D0-4273-A4BD-8C5BF7AAED60}"/>
    <hyperlink ref="N632" r:id="rId1088" xr:uid="{7C8493E0-C202-404F-BDD2-9DFBFCDD2CCF}"/>
    <hyperlink ref="M633" r:id="rId1089" location="/mode=instrument&amp;secid=HIG-RM&amp;boardgroupid=1258&amp;mode_type=history&amp;date_from=2025-07-28" xr:uid="{C3EAA832-5E71-4F0B-B26F-5CD92EE7ABCE}"/>
    <hyperlink ref="N633" r:id="rId1090" xr:uid="{E67B9A3D-5EEB-453B-BA05-DC63E053879D}"/>
    <hyperlink ref="M634" r:id="rId1091" location="/mode=instrument&amp;secid=HSY-RM&amp;boardgroupid=1258&amp;mode_type=history&amp;date_from=2025-07-28" xr:uid="{59F56798-16FE-4303-9657-53E66B6D6173}"/>
    <hyperlink ref="N634" r:id="rId1092" xr:uid="{2B5D46C9-22CD-4FF9-B614-3C60A67F648C}"/>
    <hyperlink ref="M635" r:id="rId1093" location="/mode=instrument&amp;secid=HD-RM&amp;boardgroupid=1258&amp;mode_type=history&amp;date_from=2025-04-28" xr:uid="{983C937A-E508-4627-A17B-3885C312BCC4}"/>
    <hyperlink ref="N635" r:id="rId1094" xr:uid="{31A9B41C-969C-4E1E-8916-07D72099FEDD}"/>
    <hyperlink ref="M636" r:id="rId1095" location="/mode=instrument&amp;secid=KR-RM&amp;boardgroupid=1258&amp;mode_type=history&amp;date_from=2025-07-28" xr:uid="{02ACBBD5-EC13-43C8-99F6-99EB0C7DD32D}"/>
    <hyperlink ref="N636" r:id="rId1096" xr:uid="{AAE48A93-1148-4E5E-9AA0-413F223D97BA}"/>
    <hyperlink ref="M638" r:id="rId1097" location="/mode=instrument&amp;secid=MOS-RM&amp;boardgroupid=1258&amp;mode_type=history&amp;date_from=2025-07-28" xr:uid="{72304122-2FD9-4D83-9AC8-8489BEFF7AFB}"/>
    <hyperlink ref="N638" r:id="rId1098" xr:uid="{25826863-E09E-4B61-A150-7E7F96811429}"/>
    <hyperlink ref="M639" r:id="rId1099" location="/mode=instrument&amp;secid=NYT-RM&amp;boardgroupid=1258&amp;mode_type=history&amp;date_from=2025-07-28" xr:uid="{4D63085C-A295-45F0-B9B8-1BDD63581225}"/>
    <hyperlink ref="N639" r:id="rId1100" xr:uid="{CFED6611-DB41-4F73-9A7B-ACEB31CB9542}"/>
    <hyperlink ref="M640" r:id="rId1101" location="/mode=instrument&amp;secid=PG-RM&amp;boardgroupid=1258&amp;mode_type=history&amp;date_from=2025-04-28" xr:uid="{78776C70-FD9C-4A81-AE6C-F871D2A25014}"/>
    <hyperlink ref="N640" r:id="rId1102" xr:uid="{5B3C8875-29CA-467B-A687-1E8BEC1E3737}"/>
    <hyperlink ref="M641" r:id="rId1103" location="/mode=instrument&amp;secid=PGR-RM&amp;boardgroupid=1258&amp;mode_type=history&amp;date_from=2025-07-28" xr:uid="{AEFE276E-254E-4391-87EC-1BBA82C9E9F1}"/>
    <hyperlink ref="N641" r:id="rId1104" xr:uid="{A8E246A0-68D4-46CC-BB49-63D97FA258A7}"/>
    <hyperlink ref="M642" r:id="rId1105" location="/mode=instrument&amp;secid=SO-RM&amp;boardgroupid=1258&amp;mode_type=history&amp;date_from=2025-07-28" xr:uid="{639E1960-D4B3-4EFE-A652-977ED00D0C20}"/>
    <hyperlink ref="N642" r:id="rId1106" xr:uid="{29B51606-EBD9-44FF-87E4-9E1E88938CCB}"/>
    <hyperlink ref="M643" r:id="rId1107" location="/mode=instrument&amp;secid=TJX-RM&amp;boardgroupid=1258&amp;mode_type=history&amp;date_from=2025-07-28" xr:uid="{F817A6A8-2F5F-4460-B5A0-66A9AE77D963}"/>
    <hyperlink ref="N643" r:id="rId1108" xr:uid="{67CF1039-BE21-42BF-9184-15F8B1A9E3C8}"/>
    <hyperlink ref="M644" r:id="rId1109" location="/mode=instrument&amp;secid=TTD-RM&amp;boardgroupid=1258&amp;mode_type=history&amp;date_from=2025-07-28" xr:uid="{FDB3551F-0236-41F8-A6BD-D51E5E29D05C}"/>
    <hyperlink ref="N644" r:id="rId1110" xr:uid="{DF67EA6C-72CF-40B6-AE4E-AF3C7BAF04AF}"/>
    <hyperlink ref="M645" r:id="rId1111" location="/mode=instrument&amp;secid=DIS-RM&amp;boardgroupid=1258&amp;mode_type=history&amp;date_from=2025-04-28" xr:uid="{91404AD6-E04B-4F18-9F8A-34550F0CD8FB}"/>
    <hyperlink ref="N645" r:id="rId1112" xr:uid="{8BB127A9-8EF0-4CBC-82E7-E6AF26ED60B1}"/>
    <hyperlink ref="M646" r:id="rId1113" location="/mode=instrument&amp;secid=WU-RM&amp;boardgroupid=1258&amp;mode_type=history&amp;date_from=2025-07-28" xr:uid="{D1EF7071-D69C-4D05-80E7-E29AA0DB63FB}"/>
    <hyperlink ref="N646" r:id="rId1114" xr:uid="{9B18663B-E12C-4253-B8AF-ECE951B591B7}"/>
    <hyperlink ref="M647" r:id="rId1115" location="/mode=instrument&amp;secid=TMO-RM&amp;boardgroupid=1258&amp;mode_type=history&amp;date_from=2025-07-28" xr:uid="{9898B07E-E1EF-4445-AF4A-87CD5F820C77}"/>
    <hyperlink ref="N647" r:id="rId1116" xr:uid="{8A0465E5-F816-459B-9B89-E54894658D14}"/>
    <hyperlink ref="M648" r:id="rId1117" location="/mode=instrument&amp;secid=TMUS-RM&amp;boardgroupid=1258&amp;mode_type=history&amp;date_from=2025-07-28" xr:uid="{F20F9859-0EA3-4599-BAEB-EE6520C0F44D}"/>
    <hyperlink ref="N648" r:id="rId1118" xr:uid="{1D90346D-D513-4559-9246-67A25DC607B8}"/>
    <hyperlink ref="M651" r:id="rId1119" location="/mode=instrument&amp;secid=TSCO-RM&amp;boardgroupid=1258&amp;mode_type=history&amp;date_from=2025-07-28" xr:uid="{481DF8A6-7E5D-4871-AE0D-3CE0910CA8B8}"/>
    <hyperlink ref="N651" r:id="rId1120" xr:uid="{6DE73C68-9348-49AE-9265-61450FAE83D7}"/>
    <hyperlink ref="M652" r:id="rId1121" location="/mode=instrument&amp;secid=TDG-RM&amp;boardgroupid=1258&amp;mode_type=history&amp;date_from=2025-07-28" xr:uid="{435F3928-D2A0-4540-9494-0C88EAC6213C}"/>
    <hyperlink ref="N652" r:id="rId1122" xr:uid="{42AA54E1-F4C4-4ECD-98B2-E270287FA35A}"/>
    <hyperlink ref="M654" r:id="rId1123" location="/mode=instrument&amp;secid=TRV-RM&amp;boardgroupid=1258&amp;mode_type=history&amp;date_from=2025-07-28" xr:uid="{55351CAE-7DFF-4D57-94B1-8E83454438C8}"/>
    <hyperlink ref="N654" r:id="rId1124" xr:uid="{A1850C3B-9F95-4583-9E9C-5E5722E91953}"/>
    <hyperlink ref="M655" r:id="rId1125" location="/mode=instrument&amp;secid=TPH-RM&amp;boardgroupid=1258&amp;mode_type=history&amp;date_from=2025-07-28" xr:uid="{5478DE88-2967-433F-ADA7-9C6141EC32D2}"/>
    <hyperlink ref="N655" r:id="rId1126" xr:uid="{76A589EC-1202-46E0-8C94-439E9A2CF629}"/>
    <hyperlink ref="M656" r:id="rId1127" location="/mode=instrument&amp;secid=TRMB-RM&amp;boardgroupid=1258&amp;mode_type=history&amp;date_from=2025-07-28" xr:uid="{462E578F-8D48-403B-8AF1-CA362D7B6ED2}"/>
    <hyperlink ref="N656" r:id="rId1128" xr:uid="{55150FB6-0209-4AF7-AC31-B37E34104E6C}"/>
    <hyperlink ref="M657" r:id="rId1129" location="/mode=instrument&amp;secid=TRIP-RM&amp;boardgroupid=1258&amp;mode_type=history&amp;date_from=2025-07-28" xr:uid="{AD836F7B-C815-4666-95BE-130631B599CD}"/>
    <hyperlink ref="N657" r:id="rId1130" xr:uid="{AC4B4259-4279-4CBA-8A06-110B9F00F1B7}"/>
    <hyperlink ref="M658" r:id="rId1131" location="/mode=instrument&amp;secid=TFC-RM&amp;boardgroupid=1258&amp;mode_type=history&amp;date_from=2025-04-28" xr:uid="{F9EBBEA6-079A-478D-8901-6FFC914B391A}"/>
    <hyperlink ref="N658" r:id="rId1132" xr:uid="{C6F467CB-8234-4CCF-8C05-B32D5982796D}"/>
    <hyperlink ref="M660" r:id="rId1133" location="/mode=instrument&amp;secid=TSP-RM&amp;boardgroupid=1258&amp;mode_type=history&amp;date_from=2025-07-28" xr:uid="{53CD8B26-4F82-42FD-A6E4-C3BBB6940C93}"/>
    <hyperlink ref="N660" r:id="rId1134" xr:uid="{0E0E8E7B-17AE-4AA5-8AA7-182DBE501077}"/>
    <hyperlink ref="M661" r:id="rId1135" location="/mode=instrument&amp;secid=TWLO-RM&amp;boardgroupid=1258&amp;mode_type=history&amp;date_from=2025-04-28" xr:uid="{B224506A-3D57-4704-A182-0C6D0E205012}"/>
    <hyperlink ref="N661" r:id="rId1136" xr:uid="{ECDEE0A0-66A8-4ECF-93A0-8EB0E7A079C3}"/>
    <hyperlink ref="M662" r:id="rId1137" location="/mode=instrument&amp;secid=TWTR-RM&amp;boardgroupid=1258&amp;mode_type=history&amp;date_from=2025-07-28" xr:uid="{6181D7E3-774D-47E4-B9C5-679E842BB167}"/>
    <hyperlink ref="N662" r:id="rId1138" xr:uid="{769C2299-E9C5-4C82-BBC0-F27D68A7960F}"/>
    <hyperlink ref="M663" r:id="rId1139" location="/mode=instrument&amp;secid=TYL-RM&amp;boardgroupid=1258&amp;mode_type=history&amp;date_from=2025-07-28" xr:uid="{50C1192A-3257-4324-A72D-8FE9C673AA48}"/>
    <hyperlink ref="N663" r:id="rId1140" xr:uid="{996A6795-0D4C-4E33-B425-E6570F6CCB32}"/>
    <hyperlink ref="M664" r:id="rId1141" location="/mode=instrument&amp;secid=TSN-RM&amp;boardgroupid=1258&amp;mode_type=history&amp;date_from=2025-04-28" xr:uid="{D4F301AF-88A6-476F-BFC8-A771E70A1064}"/>
    <hyperlink ref="N664" r:id="rId1142" xr:uid="{A5428DF8-DAE8-4301-9166-2F464A886B34}"/>
    <hyperlink ref="M665" r:id="rId1143" location="/mode=instrument&amp;secid=USB-RM&amp;boardgroupid=1258&amp;mode_type=history&amp;date_from=2025-07-28" xr:uid="{6B537585-23C9-4859-905E-1307F1A77BBC}"/>
    <hyperlink ref="N665" r:id="rId1144" xr:uid="{D4416311-45BC-40EB-95DA-BDE1F2344419}"/>
    <hyperlink ref="M666" r:id="rId1145" location="/mode=instrument&amp;secid=UBER-RM&amp;boardgroupid=1258&amp;mode_type=history&amp;date_from=2025-04-28" xr:uid="{C582489D-3032-48FD-918A-98D5DA477799}"/>
    <hyperlink ref="N666" r:id="rId1146" xr:uid="{2AA9C83D-6DDC-4294-93FB-3A69562BE7ED}"/>
    <hyperlink ref="M667" r:id="rId1147" location="/mode=instrument&amp;secid=PATH-RM&amp;boardgroupid=1258&amp;mode_type=history&amp;date_from=2025-07-28" xr:uid="{B725FF59-90D0-4859-B435-ADBF4D6F0EC7}"/>
    <hyperlink ref="N667" r:id="rId1148" xr:uid="{896A8F53-B039-430C-A52A-43C669E313BD}"/>
    <hyperlink ref="M668" r:id="rId1149" location="/mode=instrument&amp;secid=ULTA-RM&amp;boardgroupid=1258&amp;mode_type=history&amp;date_from=2025-07-28" xr:uid="{71695597-F85B-4E80-9ACA-7D305B48BD13}"/>
    <hyperlink ref="N668" r:id="rId1150" xr:uid="{E99DC0CC-E0F0-4A99-AED1-CD1A8B7CC8D4}"/>
    <hyperlink ref="M670" r:id="rId1151" location="/mode=instrument&amp;secid=UA-RM&amp;boardgroupid=1258&amp;mode_type=history&amp;date_from=2025-07-28" xr:uid="{74512C0C-AFB4-451B-909E-A57BEB70947A}"/>
    <hyperlink ref="N670" r:id="rId1152" xr:uid="{83E35B0B-466D-4B33-AABE-5055A25496CE}"/>
    <hyperlink ref="M671" r:id="rId1153" location="/mode=instrument&amp;secid=UNP-RM&amp;boardgroupid=1258&amp;mode_type=history&amp;date_from=2025-07-28" xr:uid="{0CEF3545-F3CE-492C-ABB8-35DC56F6A7FA}"/>
    <hyperlink ref="N671" r:id="rId1154" xr:uid="{508B8CEB-2D34-427B-9FFC-0C79142D708A}"/>
    <hyperlink ref="M672" r:id="rId1155" location="/mode=instrument&amp;secid=UAL-RM&amp;boardgroupid=1258&amp;mode_type=history&amp;date_from=2025-04-28" xr:uid="{EE17E28B-343E-4E00-8617-BCE4A33E8CD8}"/>
    <hyperlink ref="N672" r:id="rId1156" xr:uid="{CD4105AF-49DF-422E-82B8-525FCDE7AB38}"/>
    <hyperlink ref="M673" r:id="rId1157" location="/mode=instrument&amp;secid=UPS-RM&amp;boardgroupid=1258&amp;mode_type=history&amp;date_from=2025-07-28" xr:uid="{9D112C26-0565-431B-BE72-589698883194}"/>
    <hyperlink ref="N673" r:id="rId1158" xr:uid="{AD456CC5-382E-4EBC-810C-569EF5F746EC}"/>
    <hyperlink ref="M674" r:id="rId1159" location="/mode=instrument&amp;secid=URI-RM&amp;boardgroupid=1258&amp;mode_type=history&amp;date_from=2025-07-28" xr:uid="{12524099-0A28-4B7D-A475-F72FF9639A48}"/>
    <hyperlink ref="N674" r:id="rId1160" xr:uid="{84188B2A-6E47-4375-AED8-B8784F3BA687}"/>
    <hyperlink ref="M675" r:id="rId1161" location="/mode=instrument&amp;secid=UNH-RM&amp;boardgroupid=1258&amp;mode_type=history&amp;date_from=2025-04-28" xr:uid="{EFD8AD47-43E2-4234-9A33-DF3397754D4F}"/>
    <hyperlink ref="N675" r:id="rId1162" xr:uid="{C9386069-03BA-46FF-8D5E-1AFE2DA16BC6}"/>
    <hyperlink ref="M676" r:id="rId1163" location="/mode=instrument&amp;secid=U-RM&amp;boardgroupid=1258&amp;mode_type=history&amp;date_from=2025-07-28" xr:uid="{50B90B7B-60D2-4A5D-AAD1-4BFCEF7882B0}"/>
    <hyperlink ref="N676" r:id="rId1164" xr:uid="{30640B35-960B-455C-BB03-5A356130F9F2}"/>
    <hyperlink ref="M678" r:id="rId1165" location="/mode=instrument&amp;secid=UHS-RM&amp;boardgroupid=1258&amp;mode_type=history&amp;date_from=2025-07-28" xr:uid="{EF1A3020-D26F-440F-833C-9F269D0054CD}"/>
    <hyperlink ref="N678" r:id="rId1166" xr:uid="{BDED6F22-16AB-434E-BE78-D9C07FEF9856}"/>
    <hyperlink ref="M679" r:id="rId1167" location="/mode=instrument&amp;secid=UNM-RM&amp;boardgroupid=1258&amp;mode_type=history&amp;date_from=2025-07-28" xr:uid="{87DF8968-B03C-4B40-81EB-9988E41EA040}"/>
    <hyperlink ref="N679" r:id="rId1168" xr:uid="{EC020684-4D86-41FF-94D8-E1E48376BF57}"/>
    <hyperlink ref="M680" r:id="rId1169" location="/mode=instrument&amp;secid=UPWK-RM&amp;boardgroupid=1258&amp;mode_type=history&amp;date_from=2025-07-28" xr:uid="{22933D15-82C3-4C5F-8D38-87A5C4522EC4}"/>
    <hyperlink ref="N680" r:id="rId1170" xr:uid="{8EDAB9CC-61A0-4C83-8353-E965DEECF02E}"/>
    <hyperlink ref="M681" r:id="rId1171" location="/mode=instrument&amp;secid=URBN-RM&amp;boardgroupid=1258&amp;mode_type=history&amp;date_from=2025-07-28" xr:uid="{380DD39A-DD7A-45D1-870D-EA279D468A23}"/>
    <hyperlink ref="N681" r:id="rId1172" xr:uid="{627F7645-4FAE-4CE0-8C0A-5AE47A8A85C4}"/>
    <hyperlink ref="M682" r:id="rId1173" location="/mode=instrument&amp;secid=USFD-RM&amp;boardgroupid=1258&amp;mode_type=history&amp;date_from=2025-07-28" xr:uid="{56530231-DDCC-4CDB-BACF-5AA1CC3D4CF6}"/>
    <hyperlink ref="N682" r:id="rId1174" xr:uid="{9E6DBD86-629B-4689-976B-0F7155BBD60A}"/>
    <hyperlink ref="M684" r:id="rId1175" location="/mode=instrument&amp;secid=VLO-RM&amp;boardgroupid=1258&amp;mode_type=history&amp;date_from=2025-04-28" xr:uid="{C3119F89-3C22-420B-B9BD-51FDCB059020}"/>
    <hyperlink ref="N684" r:id="rId1176" xr:uid="{62F02BFA-22FF-403A-B4F6-C606897C19D8}"/>
    <hyperlink ref="M686" r:id="rId1177" location="/mode=instrument&amp;secid=VXRT-RM&amp;boardgroupid=1258&amp;mode_type=history&amp;date_from=2025-07-28" xr:uid="{C3B517C3-91A5-474E-96F5-EF06ED36EE9D}"/>
    <hyperlink ref="N686" r:id="rId1178" xr:uid="{66F66C68-E485-4276-ABF8-701D1F7A401D}"/>
    <hyperlink ref="M687" r:id="rId1179" location="/mode=instrument&amp;secid=VLDR-RM&amp;boardgroupid=1258&amp;mode_type=history&amp;date_from=2025-07-28" xr:uid="{2745CF0C-0E48-451A-B664-FCFF7618C556}"/>
    <hyperlink ref="N687" r:id="rId1180" xr:uid="{F7854F8B-4583-4745-9D8C-02A7CFE40B95}"/>
    <hyperlink ref="M688" r:id="rId1181" location="/mode=instrument&amp;secid=MDRX-RM&amp;boardgroupid=1258&amp;mode_type=history&amp;date_from=2025-07-28" xr:uid="{E3DDE01F-A6F5-4203-BB0C-7AE8C9582655}"/>
    <hyperlink ref="N688" r:id="rId1182" xr:uid="{9D4F9E70-F6AE-444A-A945-1260D7A4986D}"/>
    <hyperlink ref="M689" r:id="rId1183" location="/mode=instrument&amp;secid=VRSN-RM&amp;boardgroupid=1258&amp;mode_type=history&amp;date_from=2025-07-28" xr:uid="{68687ED7-D46A-4E6C-9BE9-32DC127558BB}"/>
    <hyperlink ref="N689" r:id="rId1184" xr:uid="{6B0EFDA8-5123-43BA-836D-104C2B75027C}"/>
    <hyperlink ref="M690" r:id="rId1185" location="/mode=instrument&amp;secid=VRSK-RM&amp;boardgroupid=1258&amp;mode_type=history&amp;date_from=2025-07-28" xr:uid="{5469F149-ACDB-4C99-A466-22A6822EC917}"/>
    <hyperlink ref="N690" r:id="rId1186" xr:uid="{44935C17-423D-4787-A0F7-B09CAC66402A}"/>
    <hyperlink ref="M691" r:id="rId1187" location="/mode=instrument&amp;secid=VZ-RM&amp;boardgroupid=1258&amp;mode_type=history&amp;date_from=2025-04-28" xr:uid="{792CB159-1CF0-4D2C-8757-E1ED38A9B2E4}"/>
    <hyperlink ref="N691" r:id="rId1188" xr:uid="{9CCDF668-09A6-4AB4-A95E-A7483127226A}"/>
    <hyperlink ref="M692" r:id="rId1189" location="/mode=instrument&amp;secid=VRTX-RM&amp;boardgroupid=1258&amp;mode_type=history&amp;date_from=2025-04-28" xr:uid="{AEF2E2DF-E5C9-4BF3-8F57-07934739014A}"/>
    <hyperlink ref="N692" r:id="rId1190" xr:uid="{E6A9D911-075F-4BFD-A11B-5020771085B1}"/>
    <hyperlink ref="M693" r:id="rId1191" location="/mode=instrument&amp;secid=VFC-RM&amp;boardgroupid=1258&amp;mode_type=history&amp;date_from=2025-07-28" xr:uid="{1C31D54C-8582-4362-88D2-8A320EFC8CC1}"/>
    <hyperlink ref="N693" r:id="rId1192" xr:uid="{B15C7921-792E-4DE4-A7D3-9A83B637CC89}"/>
    <hyperlink ref="M694" r:id="rId1193" location="/mode=instrument&amp;secid=VTRS-RM&amp;boardgroupid=1258&amp;mode_type=history&amp;date_from=2025-07-28" xr:uid="{1D24858C-052B-44B4-A858-7200A04EDB00}"/>
    <hyperlink ref="N694" r:id="rId1194" xr:uid="{381D5FF9-C677-4FFC-B92F-EFE993AF0D57}"/>
    <hyperlink ref="M695" r:id="rId1195" location="/mode=instrument&amp;secid=VMEO-RM&amp;boardgroupid=1258&amp;mode_type=history&amp;date_from=2025-07-28" xr:uid="{C5AC028B-B1F1-4799-B961-2EE12EE51252}"/>
    <hyperlink ref="N695" r:id="rId1196" xr:uid="{09C21A98-FA90-44AE-9739-FDCBF471A623}"/>
    <hyperlink ref="M696" r:id="rId1197" location="/mode=instrument&amp;secid=SPCE-RM&amp;boardgroupid=1258&amp;mode_type=history&amp;date_from=2025-07-28" xr:uid="{9547C465-0CF0-45B9-BAA4-EFDE6B5CF7E7}"/>
    <hyperlink ref="N696" r:id="rId1198" xr:uid="{7BD7CF3C-3560-4605-AF2C-239FC0F75569}"/>
    <hyperlink ref="M697" r:id="rId1199" location="/mode=instrument&amp;secid=VIRT-RM&amp;boardgroupid=1258&amp;mode_type=history&amp;date_from=2025-07-28" xr:uid="{D43B6884-ADCA-455F-8B22-01FC5465FD0E}"/>
    <hyperlink ref="N697" r:id="rId1200" xr:uid="{B83C6BEE-68E0-4609-B6EF-49D2993DD358}"/>
    <hyperlink ref="M698" r:id="rId1201" location="/mode=instrument&amp;secid=V-RM&amp;boardgroupid=1258&amp;mode_type=history&amp;date_from=2025-04-28" xr:uid="{5D244E14-5AA9-4AE8-BC1D-5D09B0A77422}"/>
    <hyperlink ref="N698" r:id="rId1202" xr:uid="{FDF76022-FF93-46CF-AFFF-4803FD0F1157}"/>
    <hyperlink ref="M701" r:id="rId1203" location="/mode=instrument&amp;secid=VG-RM&amp;boardgroupid=1258&amp;mode_type=history&amp;date_from=2025-07-28" xr:uid="{C9B0F822-0FD3-46DD-9E2C-3CFBDA8FE54F}"/>
    <hyperlink ref="N701" r:id="rId1204" xr:uid="{9A278B96-3496-43CE-81FC-6110DA441369}"/>
    <hyperlink ref="M702" r:id="rId1205" location="/mode=instrument&amp;secid=VNT-RM&amp;boardgroupid=1258&amp;mode_type=history&amp;date_from=2025-07-28" xr:uid="{B81C06F2-4099-42E4-90B9-5D6D635A43A5}"/>
    <hyperlink ref="N702" r:id="rId1206" xr:uid="{2B38950A-555D-4141-8CCA-27ED9828AF29}"/>
    <hyperlink ref="M703" r:id="rId1207" location="/mode=instrument&amp;secid=VMC-RM&amp;boardgroupid=1258&amp;mode_type=history&amp;date_from=2025-07-28" xr:uid="{9E93D179-AC06-4E2B-8A54-C42BE8B8DB8D}"/>
    <hyperlink ref="N703" r:id="rId1208" xr:uid="{9352F613-EEF0-492A-81B5-7AAC330974D9}"/>
    <hyperlink ref="M704" r:id="rId1209" location="/mode=instrument&amp;secid=VUZI-RM&amp;boardgroupid=1258&amp;mode_type=history&amp;date_from=2025-07-28" xr:uid="{C911E357-EEC1-43B6-8081-2BF9AC2F61E2}"/>
    <hyperlink ref="N704" r:id="rId1210" xr:uid="{0F236BF2-A6C9-4DDB-861F-26F9524FAB9A}"/>
    <hyperlink ref="M705" r:id="rId1211" location="/mode=instrument&amp;secid=WRB-RM&amp;boardgroupid=1258&amp;mode_type=history&amp;date_from=2025-07-28" xr:uid="{9C954086-91E0-498E-9BAD-24FA51397623}"/>
    <hyperlink ref="N705" r:id="rId1212" xr:uid="{111E388F-61DC-4E03-81FD-695FB861FA46}"/>
    <hyperlink ref="M706" r:id="rId1213" location="/mode=instrument&amp;secid=WAB-RM&amp;boardgroupid=1258&amp;mode_type=history&amp;date_from=2025-07-28" xr:uid="{D62C23A7-B0C9-407D-934B-4C020BD88F67}"/>
    <hyperlink ref="N706" r:id="rId1214" xr:uid="{62725E44-1802-4989-94BE-73463F889AF1}"/>
    <hyperlink ref="M707" r:id="rId1215" location="/mode=instrument&amp;secid=WBA-RM&amp;boardgroupid=1258&amp;mode_type=history&amp;date_from=2025-07-28" xr:uid="{5123B112-F6AF-4935-AE62-81E0D870967D}"/>
    <hyperlink ref="N707" r:id="rId1216" xr:uid="{CA2CC186-F19A-4768-A101-EC022162211E}"/>
    <hyperlink ref="M708" r:id="rId1217" location="/mode=instrument&amp;secid=WMT-RM&amp;boardgroupid=1258&amp;mode_type=history&amp;date_from=2025-04-28" xr:uid="{B29928E5-9559-458D-BBAD-CF704A6B5718}"/>
    <hyperlink ref="N708" r:id="rId1218" xr:uid="{3BC3372F-9B74-4999-A381-F947E84EBA40}"/>
    <hyperlink ref="M710" r:id="rId1219" location="/mode=instrument&amp;secid=DISCA-RM&amp;boardgroupid=1258&amp;mode_type=history&amp;date_from=2025-07-28" xr:uid="{15C23F58-1257-4717-9223-DD2076620534}"/>
    <hyperlink ref="N710" r:id="rId1220" xr:uid="{3612AC45-22CE-4A7C-B1B9-810E0C7931AC}"/>
    <hyperlink ref="M711" r:id="rId1221" location="/mode=instrument&amp;secid=WM-RM&amp;boardgroupid=1258&amp;mode_type=history&amp;date_from=2025-07-28" xr:uid="{0788D03A-9646-4058-888A-1041C720F961}"/>
    <hyperlink ref="N711" r:id="rId1222" xr:uid="{03626A79-0392-45BD-838E-A44D9F7E3269}"/>
    <hyperlink ref="M712" r:id="rId1223" location="/mode=instrument&amp;secid=WAT-RM&amp;boardgroupid=1258&amp;mode_type=history&amp;date_from=2025-07-28" xr:uid="{648B3FDF-9EEC-4778-9A19-9DDA58C6EDC8}"/>
    <hyperlink ref="N712" r:id="rId1224" xr:uid="{B8DFBEA2-6C0B-4F54-9599-AFE66BB7DE93}"/>
    <hyperlink ref="M713" r:id="rId1225" location="/mode=instrument&amp;secid=W-RM&amp;boardgroupid=1258&amp;mode_type=history&amp;date_from=2025-07-28" xr:uid="{9AAC5474-3732-4719-8197-D3C93F5857CA}"/>
    <hyperlink ref="N713" r:id="rId1226" xr:uid="{42A12765-FF3B-4FA8-9465-C6728CC7258B}"/>
    <hyperlink ref="M714" r:id="rId1227" location="/mode=instrument&amp;secid=WEC-RM&amp;boardgroupid=1258&amp;mode_type=history&amp;date_from=2025-07-28" xr:uid="{88E188C9-3613-4884-851C-106CF31DEEE1}"/>
    <hyperlink ref="N714" r:id="rId1228" xr:uid="{DB264A73-67DA-4F35-B088-6A29E0B9E571}"/>
    <hyperlink ref="M715" r:id="rId1229" location="/mode=instrument&amp;secid=WFC-RM&amp;boardgroupid=1258&amp;mode_type=history&amp;date_from=2025-04-28" xr:uid="{09DA703E-D9C5-40F5-8683-C4B6D3EC6AD4}"/>
    <hyperlink ref="N715" r:id="rId1230" xr:uid="{C5447110-6852-4443-B28F-F124F3C2829C}"/>
    <hyperlink ref="M716" r:id="rId1231" location="/mode=instrument&amp;secid=WST-RM&amp;boardgroupid=1258&amp;mode_type=history&amp;date_from=2025-07-28" xr:uid="{1B3EC264-50E4-4EA9-BA5E-FDB82A778B7C}"/>
    <hyperlink ref="N716" r:id="rId1232" xr:uid="{13FA454D-9CF4-4CDB-AA27-BB3C8A12F387}"/>
    <hyperlink ref="M717" r:id="rId1233" location="/mode=instrument&amp;secid=WDC-RM&amp;boardgroupid=1258&amp;mode_type=history&amp;date_from=2025-04-28" xr:uid="{D8907132-FFA8-43AB-A70D-5ED59DFCC914}"/>
    <hyperlink ref="N717" r:id="rId1234" xr:uid="{C15A5FDD-AB21-452B-B2CF-66571134AA80}"/>
    <hyperlink ref="M718" r:id="rId1235" location="/mode=instrument&amp;secid=WRK-RM&amp;boardgroupid=1258&amp;mode_type=history&amp;date_from=2025-07-28" xr:uid="{3ED7BA3F-F398-4F13-8729-5B4275F1F935}"/>
    <hyperlink ref="N718" r:id="rId1236" xr:uid="{CBBDCAB3-651D-45AA-A343-299AE9E4BCF8}"/>
    <hyperlink ref="M719" r:id="rId1237" location="/mode=instrument&amp;secid=WHR-RM&amp;boardgroupid=1258&amp;mode_type=history&amp;date_from=2025-07-28" xr:uid="{633D29FF-72F6-4D1B-9D92-6C6C58D66DD2}"/>
    <hyperlink ref="N719" r:id="rId1238" xr:uid="{8474DA97-CEDA-4AB6-A0BD-DBC42E240907}"/>
    <hyperlink ref="M720" r:id="rId1239" location="/mode=instrument&amp;secid=WMB-RM&amp;boardgroupid=1258&amp;mode_type=history&amp;date_from=2025-07-28" xr:uid="{60B51F9B-A8F2-482D-8B1A-7617511B439E}"/>
    <hyperlink ref="N720" r:id="rId1240" xr:uid="{9A52CBE0-731A-49A7-B368-26F305503579}"/>
    <hyperlink ref="M721" r:id="rId1241" location="/mode=instrument&amp;secid=WSM-RM&amp;boardgroupid=1258&amp;mode_type=history&amp;date_from=2025-07-28" xr:uid="{7BF0963C-CA14-4CD7-B1DF-C51529B296FD}"/>
    <hyperlink ref="N721" r:id="rId1242" xr:uid="{A7B95165-634E-47EA-8EB2-05A4466BE3AD}"/>
    <hyperlink ref="M722" r:id="rId1243" location="/mode=instrument&amp;secid=WSC-RM&amp;boardgroupid=1258&amp;mode_type=history&amp;date_from=2025-07-28" xr:uid="{7CA9267F-BA4D-4A62-AFB0-AEE27B88D02C}"/>
    <hyperlink ref="N722" r:id="rId1244" xr:uid="{C5C712E3-0DC9-4F52-8F4C-ECB5958CD001}"/>
    <hyperlink ref="M723" r:id="rId1245" location="/mode=instrument&amp;secid=WDAY-RM&amp;boardgroupid=1258&amp;mode_type=history&amp;date_from=2025-07-28" xr:uid="{0D427CEB-2012-4D06-82BB-5A1287807A2C}"/>
    <hyperlink ref="N723" r:id="rId1246" xr:uid="{AB37DADE-1188-4CF0-8545-EE7E32F4BCAE}"/>
    <hyperlink ref="M724" r:id="rId1247" location="/mode=instrument&amp;secid=GWW-RM&amp;boardgroupid=1258&amp;mode_type=history&amp;date_from=2025-07-28" xr:uid="{3988EEB7-E3C6-4EAF-BD5D-905EFA5A2B9A}"/>
    <hyperlink ref="N724" r:id="rId1248" xr:uid="{751AEC09-774E-44A3-9303-8A3615BF3984}"/>
    <hyperlink ref="M725" r:id="rId1249" location="/mode=instrument&amp;secid=WW-RM&amp;boardgroupid=1258&amp;mode_type=history&amp;date_from=2025-07-28" xr:uid="{CFF0FF6F-DFFC-4DCB-9116-2D9026EF979D}"/>
    <hyperlink ref="N725" r:id="rId1250" xr:uid="{89EB9109-D5E1-4928-8DD3-6171F8936E25}"/>
    <hyperlink ref="M726" r:id="rId1251" location="/mode=instrument&amp;secid=WYNN-RM&amp;boardgroupid=1258&amp;mode_type=history&amp;date_from=2025-07-28" xr:uid="{B5D6E6AE-1219-49D1-88B6-35C4028FF20B}"/>
    <hyperlink ref="N726" r:id="rId1252" xr:uid="{F1347843-CBBE-4246-8DF5-333FF3100F1C}"/>
    <hyperlink ref="M727" r:id="rId1253" location="/mode=instrument&amp;secid=XEL-RM&amp;boardgroupid=1258&amp;mode_type=history&amp;date_from=2025-07-28" xr:uid="{77BC8CD8-A7DE-484F-8D50-2F4649555433}"/>
    <hyperlink ref="N727" r:id="rId1254" xr:uid="{C6586782-033A-4B01-937D-55D8AAE42556}"/>
    <hyperlink ref="M728" r:id="rId1255" location="/mode=instrument&amp;secid=XRX-RM&amp;boardgroupid=1258&amp;mode_type=history&amp;date_from=2025-07-28" xr:uid="{48F7A94B-D9CB-4D9A-A650-FAE512684798}"/>
    <hyperlink ref="N728" r:id="rId1256" xr:uid="{50AF4FF6-0DC5-4837-B720-154636BDDE85}"/>
    <hyperlink ref="M729" r:id="rId1257" location="/mode=instrument&amp;secid=XLNX-RM&amp;boardgroupid=1258&amp;mode_type=history&amp;date_from=2025-07-28" xr:uid="{2936B08B-4111-4EEC-AC74-B5DA4EBCB2ED}"/>
    <hyperlink ref="N729" r:id="rId1258" xr:uid="{426952B0-F1F9-4E40-ACDF-91C101C4C5D7}"/>
    <hyperlink ref="M730" r:id="rId1259" location="/mode=instrument&amp;secid=XPO-RM&amp;boardgroupid=1258&amp;mode_type=history&amp;date_from=2025-07-28" xr:uid="{2C7B29AD-0564-46BC-9A2B-61D21D71E474}"/>
    <hyperlink ref="N730" r:id="rId1260" xr:uid="{B06326FB-893F-473A-8ED9-EA56ECADC1E3}"/>
    <hyperlink ref="M731" r:id="rId1261" location="/mode=instrument&amp;secid=XYL-RM&amp;boardgroupid=1258&amp;mode_type=history&amp;date_from=2025-07-28" xr:uid="{F146B08E-F832-48F8-802B-2A4FB4EEC3EB}"/>
    <hyperlink ref="N731" r:id="rId1262" xr:uid="{EC52C298-026B-4C1A-9BC9-86C3D32225F6}"/>
    <hyperlink ref="M732" r:id="rId1263" location="/mode=instrument&amp;secid=YETI-RM&amp;boardgroupid=1258&amp;mode_type=history&amp;date_from=2025-07-28" xr:uid="{3A0A9C72-2C87-4058-A2D3-C33F29B50185}"/>
    <hyperlink ref="N732" r:id="rId1264" xr:uid="{4889856C-250A-4421-80A2-761004A75118}"/>
    <hyperlink ref="M733" r:id="rId1265" location="/mode=instrument&amp;secid=YEXT-RM&amp;boardgroupid=1258&amp;mode_type=history&amp;date_from=2025-07-28" xr:uid="{BCA6D340-1636-406C-A16A-F74DB121FDE4}"/>
    <hyperlink ref="N733" r:id="rId1266" xr:uid="{F6F64A86-E560-457A-B645-AD3E28B488B2}"/>
    <hyperlink ref="M734" r:id="rId1267" location="/mode=instrument&amp;secid=YUM-RM&amp;boardgroupid=1258&amp;mode_type=history&amp;date_from=2025-07-28" xr:uid="{FC2A6FFF-FB04-4A00-AAF0-9666F9230533}"/>
    <hyperlink ref="N734" r:id="rId1268" xr:uid="{A366A543-8E4F-4FE7-8E35-7C6008642F1C}"/>
    <hyperlink ref="M735" r:id="rId1269" location="/mode=instrument&amp;secid=YUMC-RM&amp;boardgroupid=1258&amp;mode_type=history&amp;date_from=2025-07-28" xr:uid="{C5C63901-E975-4F3B-AC73-9374573C9408}"/>
    <hyperlink ref="N735" r:id="rId1270" xr:uid="{06D15419-563B-4E15-9CF5-1CA567506501}"/>
    <hyperlink ref="M736" r:id="rId1271" location="/mode=instrument&amp;secid=ZBRA-RM&amp;boardgroupid=1258&amp;mode_type=history&amp;date_from=2025-07-28" xr:uid="{282855FF-CD1F-4B68-8296-E9ECCCAA68F1}"/>
    <hyperlink ref="N736" r:id="rId1272" xr:uid="{8900392A-DE9F-40BA-BAF8-140EA76FFF9A}"/>
    <hyperlink ref="M737" r:id="rId1273" location="/mode=instrument&amp;secid=Z-RM&amp;boardgroupid=1258&amp;mode_type=history&amp;date_from=2025-07-28" xr:uid="{E5234465-58ED-4E68-A3E0-CCFBC3CB09E1}"/>
    <hyperlink ref="N737" r:id="rId1274" xr:uid="{A13A562F-7664-4431-8683-736727CFB0EA}"/>
    <hyperlink ref="M738" r:id="rId1275" location="/mode=instrument&amp;secid=ZBH-RM&amp;boardgroupid=1258&amp;mode_type=history&amp;date_from=2025-07-28" xr:uid="{EFEC41D8-C6E5-4D40-AA4B-444D1940333B}"/>
    <hyperlink ref="N738" r:id="rId1276" xr:uid="{F6D29666-5C8E-4A90-9707-AD02180C0764}"/>
    <hyperlink ref="M739" r:id="rId1277" location="/mode=instrument&amp;secid=ZION-RM&amp;boardgroupid=1258&amp;mode_type=history&amp;date_from=2025-07-28" xr:uid="{FF5D04F0-B2C7-4DE5-82DD-551FA54B70D5}"/>
    <hyperlink ref="N739" r:id="rId1278" xr:uid="{4013F158-210C-4374-9BA6-08DE05ABC281}"/>
    <hyperlink ref="M740" r:id="rId1279" location="/mode=instrument&amp;secid=ZIP-RM&amp;boardgroupid=1258&amp;mode_type=history&amp;date_from=2025-07-28" xr:uid="{DB8A9E80-2DFE-4439-AE18-2FE2BCA40CC5}"/>
    <hyperlink ref="N740" r:id="rId1280" xr:uid="{3868821A-FB9E-48E7-AE91-6DFC1AAA5782}"/>
    <hyperlink ref="M741" r:id="rId1281" location="/mode=instrument&amp;secid=ZTS-RM&amp;boardgroupid=1258&amp;mode_type=history&amp;date_from=2025-07-28" xr:uid="{66D9ED17-F5AF-4554-AA0F-5884B7562A88}"/>
    <hyperlink ref="N741" r:id="rId1282" xr:uid="{CA160246-FB0E-4745-9851-34587B102F44}"/>
    <hyperlink ref="M742" r:id="rId1283" location="/mode=instrument&amp;secid=ZM-RM&amp;boardgroupid=1258&amp;mode_type=history&amp;date_from=2025-04-28" xr:uid="{CAA74DB2-B05D-4139-9B37-6752EBB18B9B}"/>
    <hyperlink ref="N742" r:id="rId1284" xr:uid="{F8BCB5A7-EAF7-4416-A100-23A8548CB9E8}"/>
    <hyperlink ref="M743" r:id="rId1285" location="/mode=instrument&amp;secid=ZI-RM&amp;boardgroupid=1258&amp;mode_type=history&amp;date_from=2025-07-28" xr:uid="{8BD70415-1210-4784-B4D4-E39468164D49}"/>
    <hyperlink ref="N743" r:id="rId1286" xr:uid="{78042E58-125C-4A7D-948C-ABA3A10A7328}"/>
    <hyperlink ref="M744" r:id="rId1287" location="/mode=instrument&amp;secid=ZS-RM&amp;boardgroupid=1258&amp;mode_type=history&amp;date_from=2025-07-28" xr:uid="{2FFAEE20-8E10-476E-B5E0-EC1F42083932}"/>
    <hyperlink ref="N744" r:id="rId1288" xr:uid="{B9572B34-7465-423D-9D50-BBFDBA9AA53F}"/>
    <hyperlink ref="M745" r:id="rId1289" location="/mode=instrument&amp;secid=ZYNE-RM&amp;boardgroupid=1258&amp;mode_type=history&amp;date_from=2025-07-28" xr:uid="{C68BB625-A1A4-448E-BEB5-006F20593D05}"/>
    <hyperlink ref="N745" r:id="rId1290" xr:uid="{8882E329-7B4D-4D24-94AD-92CE49C334E3}"/>
    <hyperlink ref="M747" r:id="rId1291" location="/mode=instrument&amp;secid=BABA-RM&amp;boardgroupid=1258&amp;mode_type=history&amp;date_from=2025-07-28" xr:uid="{93E55880-435A-4645-B825-EC21651A1D07}"/>
    <hyperlink ref="N747" r:id="rId1292" xr:uid="{CA8BAAE6-36D4-417F-A216-A68FB4A39D4F}"/>
    <hyperlink ref="M748" r:id="rId1293" location="/mode=instrument&amp;secid=BIDU-RM&amp;boardgroupid=1258&amp;mode_type=history&amp;date_from=2025-07-28" xr:uid="{EDA687AC-CC55-4715-A278-49555DDE268A}"/>
    <hyperlink ref="N748" r:id="rId1294" xr:uid="{CB049E68-75A3-466A-B758-158878709F1C}"/>
    <hyperlink ref="M749" r:id="rId1295" location="/mode=instrument&amp;secid=BILI-RM&amp;boardgroupid=1258&amp;mode_type=history&amp;date_from=2025-07-28" xr:uid="{2A288819-BE45-4505-B168-68A674FE7C88}"/>
    <hyperlink ref="N749" r:id="rId1296" xr:uid="{CE7A14A4-6FE8-46D5-B102-A4F52F7E814D}"/>
    <hyperlink ref="M750" r:id="rId1297" location="/mode=instrument&amp;secid=MOMO-RM&amp;boardgroupid=1258&amp;mode_type=history&amp;date_from=2025-07-28" xr:uid="{7F83D16B-A322-4C85-A13B-E0E0176D52FD}"/>
    <hyperlink ref="N750" r:id="rId1298" xr:uid="{9FCECDE9-EF9D-4DAB-AC3D-0F9EA27A1FA2}"/>
    <hyperlink ref="M751" r:id="rId1299" location="/mode=instrument&amp;secid=JD-RM&amp;boardgroupid=1258&amp;mode_type=history&amp;date_from=2025-07-28" xr:uid="{4364B4FE-FA4D-489E-8E68-5796D7C6638A}"/>
    <hyperlink ref="N751" r:id="rId1300" xr:uid="{14B3A0D5-F95C-456C-8BF3-9474DFE0679A}"/>
    <hyperlink ref="M752" r:id="rId1301" location="/mode=instrument&amp;secid=LI-RM&amp;boardgroupid=1258&amp;mode_type=history&amp;date_from=2025-07-28" xr:uid="{2E8124D7-A08E-42D9-840D-B091554A425B}"/>
    <hyperlink ref="N752" r:id="rId1302" xr:uid="{472D65DF-11AE-4762-B741-8492B139443D}"/>
    <hyperlink ref="M753" r:id="rId1303" location="/mode=instrument&amp;secid=NIO-RM&amp;boardgroupid=1258&amp;mode_type=history&amp;date_from=2025-07-28" xr:uid="{14697520-20BF-4F4E-8FC1-1FFC472DA00C}"/>
    <hyperlink ref="N753" r:id="rId1304" xr:uid="{31356A7E-7E35-4449-932F-5E130478D0B0}"/>
    <hyperlink ref="M754" r:id="rId1305" location="/mode=instrument&amp;secid=NVS-RM&amp;boardgroupid=1258&amp;mode_type=history&amp;date_from=2025-07-28" xr:uid="{87160DD5-D5C1-40DE-BC8D-4DD9112D2B42}"/>
    <hyperlink ref="N754" r:id="rId1306" xr:uid="{6261FE11-0268-4832-B426-2A2B76AF6E3C}"/>
    <hyperlink ref="M755" r:id="rId1307" location="/mode=instrument&amp;secid=PTR-RM&amp;boardgroupid=1258&amp;mode_type=history&amp;date_from=2025-07-28" xr:uid="{0B6AB411-A7B7-4225-962E-5BCD684E44D9}"/>
    <hyperlink ref="N755" r:id="rId1308" xr:uid="{59B3812F-56E9-4E39-9AAB-819A662F97D5}"/>
    <hyperlink ref="M756" r:id="rId1309" location="/mode=instrument&amp;secid=SAP-RM&amp;boardgroupid=1258&amp;mode_type=history&amp;date_from=2025-07-28" xr:uid="{09EB5568-9DAF-4209-87BF-DEDCD039C185}"/>
    <hyperlink ref="N756" r:id="rId1310" xr:uid="{8B659CCF-9D91-46EC-9EE3-8021815EB8B2}"/>
    <hyperlink ref="M757" r:id="rId1311" location="/mode=instrument&amp;secid=SONY-RM&amp;boardgroupid=1258&amp;mode_type=history&amp;date_from=2025-07-28" xr:uid="{E945AED4-886E-4651-94E3-49C2BF0D3DEC}"/>
    <hyperlink ref="N757" r:id="rId1312" xr:uid="{0219B4CB-F9D7-4755-A211-8C5D3475DEE9}"/>
    <hyperlink ref="M758" r:id="rId1313" location="/mode=instrument&amp;secid=TSM-RM&amp;boardgroupid=1258&amp;mode_type=history&amp;date_from=2025-07-28" xr:uid="{F2A916D0-8A77-472B-ACC1-A62773EB33AD}"/>
    <hyperlink ref="N758" r:id="rId1314" xr:uid="{C0A6651D-16E0-46E6-9E1E-42F660B1A018}"/>
    <hyperlink ref="M759" r:id="rId1315" location="/mode=instrument&amp;secid=TAL-RM&amp;boardgroupid=1258&amp;mode_type=history&amp;date_from=2025-07-28" xr:uid="{81190F8F-7C18-45AC-B8EA-76AC2D6C86FA}"/>
    <hyperlink ref="N759" r:id="rId1316" xr:uid="{7965A894-CC29-419A-9749-8ACAB9CB54D2}"/>
    <hyperlink ref="M760" r:id="rId1317" location="/mode=instrument&amp;secid=TM-RM&amp;boardgroupid=1258&amp;mode_type=history&amp;date_from=2025-07-28" xr:uid="{D5E01B90-E031-4B94-93DE-6577D2E88CC4}"/>
    <hyperlink ref="N760" r:id="rId1318" xr:uid="{D563FAE9-471B-4BCF-A137-57C6EEF989C5}"/>
    <hyperlink ref="M761" r:id="rId1319" location="/mode=instrument&amp;secid=VIPS-RM&amp;boardgroupid=1258&amp;mode_type=history&amp;date_from=2025-07-28" xr:uid="{55368807-1A36-469D-A7DC-E1C78F6607A7}"/>
    <hyperlink ref="N761" r:id="rId1320" xr:uid="{17E9B7BB-8639-4D77-8BE9-8FE9FE5C3AEA}"/>
    <hyperlink ref="M762" r:id="rId1321" location="/mode=instrument&amp;secid=XPEV-RM&amp;boardgroupid=1258&amp;mode_type=history&amp;date_from=2025-07-28" xr:uid="{FCE5A69D-01AE-46EE-B976-477495D14106}"/>
    <hyperlink ref="N762" r:id="rId1322" xr:uid="{EA13595A-CD81-4738-A94C-83FBA012FD8D}"/>
    <hyperlink ref="M552" r:id="rId1323" location="/mode=instrument&amp;secid=HOOD-RM&amp;boardgroupid=1258&amp;mode_type=history&amp;date_from=2025-11-28" xr:uid="{F1F11901-3C03-4462-8D31-445E37D5359E}"/>
    <hyperlink ref="N552" r:id="rId1324" xr:uid="{386F9BE4-1E2E-4CC3-86D6-6FDC66DBD371}"/>
    <hyperlink ref="M34" r:id="rId1325" location="/mode=instrument&amp;secid=GOOGL-RM&amp;boardgroupid=1258&amp;mode_type=history&amp;date_from=2025-11-28" xr:uid="{6F71E815-AE3B-40A5-8ECA-B988CF94F8E7}"/>
    <hyperlink ref="N34" r:id="rId1326" xr:uid="{E792E255-F164-48A2-A5B8-9CE961112B87}"/>
    <hyperlink ref="M184" r:id="rId1327" location="/mode=instrument&amp;secid=WISH-RM&amp;boardgroupid=1258&amp;mode_type=history&amp;date_from=2025-07-28" xr:uid="{3C417244-87E7-47B0-9524-4B79B81F104F}"/>
    <hyperlink ref="N190" r:id="rId1328" xr:uid="{530AAA3F-2B3F-48DF-9F40-CC78DF57D4B1}"/>
    <hyperlink ref="N685" r:id="rId1329" xr:uid="{184E8D87-FAE3-455D-8141-EFA1BE714673}"/>
    <hyperlink ref="N763" r:id="rId1330" xr:uid="{04DF13AC-05DC-4283-91DB-907187BA52BD}"/>
    <hyperlink ref="N764" r:id="rId1331" xr:uid="{5A4795BD-6C5D-428F-8114-D3270F4A2A85}"/>
    <hyperlink ref="N765" r:id="rId1332" xr:uid="{DF706696-1662-40B2-93AE-9E0AAC63E8F3}"/>
    <hyperlink ref="N766" r:id="rId1333" xr:uid="{D5E6667A-A91B-4236-A7F2-BF354DD963BB}"/>
    <hyperlink ref="N767" r:id="rId1334" xr:uid="{5F35C5CA-2DDD-4BF1-AD27-C6522775CBF3}"/>
    <hyperlink ref="N768" r:id="rId1335" xr:uid="{ED080DA0-0421-47B2-99BF-0525E3BA0A44}"/>
    <hyperlink ref="N769" r:id="rId1336" xr:uid="{E0075E0A-0658-4D18-9CF4-6FFB4154CB0A}"/>
    <hyperlink ref="N770" r:id="rId1337" xr:uid="{373B9953-976E-49DD-B3C8-C2895B871098}"/>
    <hyperlink ref="N771" r:id="rId1338" xr:uid="{9C9BC267-BD4A-4A54-976B-64F02E56B308}"/>
    <hyperlink ref="N772" r:id="rId1339" xr:uid="{535B0B95-42A9-4FFA-AA17-1E1DC11496B6}"/>
    <hyperlink ref="N773" r:id="rId1340" xr:uid="{33F46F2B-9499-49D8-88CA-D7CCCF97E95D}"/>
    <hyperlink ref="N774" r:id="rId1341" xr:uid="{62C13B2C-8A1A-4A58-8796-2C674189BC31}"/>
    <hyperlink ref="N775" r:id="rId1342" xr:uid="{1B5614E4-41F2-4764-B3D5-F4811ABFDDE3}"/>
    <hyperlink ref="N776" r:id="rId1343" xr:uid="{29932782-203C-4D1F-A053-4B243C025566}"/>
    <hyperlink ref="N777" r:id="rId1344" xr:uid="{6118A481-25E5-45B1-B96D-B9BEBE0C00AB}"/>
    <hyperlink ref="N778" r:id="rId1345" xr:uid="{579A4E6A-8925-41BD-B28F-3AAF5770D8A5}"/>
    <hyperlink ref="N779" r:id="rId1346" xr:uid="{343CF032-1582-45D5-AD3D-CF6B07FEE695}"/>
    <hyperlink ref="N780" r:id="rId1347" xr:uid="{164306CF-05E4-45CB-8BDF-E2CAE2898478}"/>
    <hyperlink ref="N781" r:id="rId1348" xr:uid="{8E3FCF9C-6248-4F9C-8520-8B639176168A}"/>
    <hyperlink ref="N782" r:id="rId1349" xr:uid="{44D2C696-52F8-451A-AF3A-D684C482C394}"/>
    <hyperlink ref="M190" r:id="rId1350" location="/mode=instrument&amp;secid=CPAY-RM&amp;boardgroupid=1258&amp;mode_type=history&amp;date_from=2025-11-28" xr:uid="{038FA2EA-D56B-4602-8D8A-2EEF962DC14A}"/>
    <hyperlink ref="M685" r:id="rId1351" location="/mode=instrument&amp;secid=VRNS-RM&amp;boardgroupid=1258&amp;mode_type=history&amp;date_from=2025-11-28" xr:uid="{95FF6E8A-E562-468F-9768-DBE52100833B}"/>
    <hyperlink ref="M763" r:id="rId1352" location="/mode=instrument&amp;secid=XLF-RM&amp;boardgroupid=1258&amp;mode_type=history&amp;date_from=2025-11-28" xr:uid="{082C8A9F-FF2F-48DD-A57F-EBC064E66A6D}"/>
    <hyperlink ref="M764" r:id="rId1353" location="/mode=instrument&amp;secid=SKYY-RM&amp;boardgroupid=1258&amp;mode_type=history&amp;date_from=2025-11-28" xr:uid="{8B0F8CC3-B6C2-4DFD-B281-D63BF01BBF37}"/>
    <hyperlink ref="M765" r:id="rId1354" location="/mode=instrument&amp;secid=LIT-RM&amp;boardgroupid=1258&amp;mode_type=history&amp;date_from=2025-11-28" xr:uid="{832CE22E-6916-4C9B-AF13-7FF6DD6F9B90}"/>
    <hyperlink ref="M766" r:id="rId1355" location="/mode=instrument&amp;secid=BOTZ-RM&amp;boardgroupid=1258&amp;mode_type=history&amp;date_from=2025-11-28" xr:uid="{B61356A2-0296-475B-9CED-36D31DEEEB8D}"/>
    <hyperlink ref="M767" r:id="rId1356" location="/mode=instrument&amp;secid=ICLN-RM&amp;boardgroupid=1258&amp;mode_type=history&amp;date_from=2025-11-28" xr:uid="{340702BB-7E23-40D1-9B0C-A4F9450F767C}"/>
    <hyperlink ref="M768" r:id="rId1357" location="/mode=instrument&amp;secid=IGF-RM&amp;boardgroupid=1258&amp;mode_type=history&amp;date_from=2025-11-28" xr:uid="{2EC4643E-DDEC-4EDE-9529-192414314374}"/>
    <hyperlink ref="M769" r:id="rId1358" location="/mode=instrument&amp;secid=MCHI-RM&amp;boardgroupid=1258&amp;mode_type=history&amp;date_from=2025-11-28" xr:uid="{EB249D4D-D61F-4411-9E23-4F39C1F69527}"/>
    <hyperlink ref="M770" r:id="rId1359" location="/mode=instrument&amp;secid=EEM-RM&amp;boardgroupid=1258&amp;mode_type=history&amp;date_from=2025-11-28" xr:uid="{34375A5D-37A9-4486-B526-0BBEB383C942}"/>
    <hyperlink ref="M771" r:id="rId1360" location="/mode=instrument&amp;secid=MTUM-RM&amp;boardgroupid=1258&amp;mode_type=history&amp;date_from=2025-11-28" xr:uid="{005FF16B-A048-43C1-BC0A-3DD3E757C810}"/>
    <hyperlink ref="M772" r:id="rId1361" location="/mode=instrument&amp;secid=IYR-RM&amp;boardgroupid=1258&amp;mode_type=history&amp;date_from=2025-11-28" xr:uid="{BD736B46-4C2C-49D5-9704-24E9EA71FC59}"/>
    <hyperlink ref="M773" r:id="rId1362" location="/mode=instrument&amp;secid=KWEB-RM&amp;boardgroupid=1258&amp;mode_type=history&amp;date_from=2025-11-28" xr:uid="{FF03890E-BAE4-4873-A62C-25D9B5AB589F}"/>
    <hyperlink ref="M774" r:id="rId1363" location="/mode=instrument&amp;secid=ONLN-RM&amp;boardgroupid=1258&amp;mode_type=history&amp;date_from=2025-11-28" xr:uid="{36E0D66F-2058-4DFF-97C9-04E4027256EA}"/>
    <hyperlink ref="M775" r:id="rId1364" location="/mode=instrument&amp;secid=SPY-RM&amp;boardgroupid=1258&amp;mode_type=history&amp;date_from=2025-11-28" xr:uid="{072953BF-2F2C-48F8-9DCA-0BF7AB18FC54}"/>
    <hyperlink ref="M776" r:id="rId1365" location="/mode=instrument&amp;secid=XLE-RM&amp;boardgroupid=1258&amp;mode_type=history&amp;date_from=2025-11-28" xr:uid="{A3D33FAD-068C-4862-882D-91ADDCE97AA2}"/>
    <hyperlink ref="M777" r:id="rId1366" location="/mode=instrument&amp;secid=XLV-RM&amp;boardgroupid=1258&amp;mode_type=history&amp;date_from=2025-11-28" xr:uid="{71CDFDF3-FADF-4441-90C1-C28176C67C49}"/>
    <hyperlink ref="M778" r:id="rId1367" location="/mode=instrument&amp;secid=JETS-RM&amp;boardgroupid=1258&amp;mode_type=history&amp;date_from=2025-11-28" xr:uid="{EC1F7395-8A76-4B7F-8287-C5AC9EF33194}"/>
    <hyperlink ref="M779" r:id="rId1368" location="/mode=instrument&amp;secid=VOX-RM&amp;boardgroupid=1258&amp;mode_type=history&amp;date_from=2025-11-28" xr:uid="{C6E7596E-49DD-4541-8BAC-80211679486F}"/>
    <hyperlink ref="M780" r:id="rId1369" location="/mode=instrument&amp;secid=VGT-RM&amp;boardgroupid=1258&amp;mode_type=history&amp;date_from=2025-11-28" xr:uid="{FDBFAD26-F076-432C-B7C1-4C207B851B5B}"/>
    <hyperlink ref="M781" r:id="rId1370" location="/mode=instrument&amp;secid=VOO-RM&amp;boardgroupid=1258&amp;mode_type=history&amp;date_from=2025-11-28" xr:uid="{32B5784C-540D-48F8-9282-F91185B09D5D}"/>
    <hyperlink ref="M782" r:id="rId1371" location="/mode=instrument&amp;secid=VXUS-RM&amp;boardgroupid=1258&amp;mode_type=history&amp;date_from=2025-11-28" xr:uid="{203B34B7-A04B-438E-89F5-5E93904A19C0}"/>
    <hyperlink ref="M78" r:id="rId1372" location="/mode=instrument&amp;secid=AXSM-RM&amp;boardgroupid=1258&amp;mode_type=history&amp;date_from=2025-12-14" xr:uid="{4D7B6F44-EA7F-46A4-8121-E48B9D3FE502}"/>
    <hyperlink ref="N78" r:id="rId1373" xr:uid="{9058F32A-23BD-45CF-A77C-61A55A78A1F2}"/>
    <hyperlink ref="N495" r:id="rId1374" xr:uid="{6C2F686E-894E-42BB-B98A-C26D8FC68FBD}"/>
    <hyperlink ref="M138" r:id="rId1375" location="/mode=instrument&amp;secid=CAT-RM&amp;boardgroupid=1258&amp;mode_type=history&amp;date_from=2025-11-28&amp;date_till=2026-08-27" xr:uid="{72397233-6A34-47A0-B0E6-754ECF4DD6DF}"/>
    <hyperlink ref="N138" r:id="rId1376" xr:uid="{0CF652B0-BC0B-42F1-8DF4-FEC783F1FF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Стандарт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Cлуцкий</dc:creator>
  <cp:lastModifiedBy>Даниил Cлуцкий</cp:lastModifiedBy>
  <dcterms:created xsi:type="dcterms:W3CDTF">2025-12-27T23:13:00Z</dcterms:created>
  <dcterms:modified xsi:type="dcterms:W3CDTF">2026-08-28T21:26:49Z</dcterms:modified>
</cp:coreProperties>
</file>